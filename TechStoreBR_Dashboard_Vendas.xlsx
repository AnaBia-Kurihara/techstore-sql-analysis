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Receita Mensal" sheetId="2" state="visible" r:id="rId4"/>
    <sheet name="Top Produtos" sheetId="3" state="visible" r:id="rId5"/>
    <sheet name="Receita por Categoria" sheetId="4" state="visible" r:id="rId6"/>
    <sheet name="Performance Vendedores" sheetId="5" state="visible" r:id="rId7"/>
    <sheet name="Receita por Estado" sheetId="6" state="visible" r:id="rId8"/>
    <sheet name="Status e Pagamento" sheetId="7" state="visible" r:id="rId9"/>
    <sheet name="Top Clientes (RFM)" sheetId="8" state="visible" r:id="rId10"/>
    <sheet name="Giro de Estoqu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<sst xmlns="http://schemas.openxmlformats.org/spreadsheetml/2006/main" count="341" uniqueCount="188">
  <si>
    <t xml:space="preserve">TechStore BR — Dashboard de Vendas</t>
  </si>
  <si>
    <t xml:space="preserve">Projeto de portfolio SQL: consultas, joins, subconsultas, CTEs, views, transacoes e analise de dados</t>
  </si>
  <si>
    <t xml:space="preserve">RECEITA LIQUIDA TOTAL</t>
  </si>
  <si>
    <t xml:space="preserve">PEDIDOS CONCLUIDOS</t>
  </si>
  <si>
    <t xml:space="preserve">TICKET MEDIO</t>
  </si>
  <si>
    <t xml:space="preserve">RECEITA MEDIA MENSAL</t>
  </si>
  <si>
    <t xml:space="preserve">R$ 5.284.006</t>
  </si>
  <si>
    <t xml:space="preserve">517</t>
  </si>
  <si>
    <t xml:space="preserve">R$ 10.221</t>
  </si>
  <si>
    <t xml:space="preserve">R$ 142.811</t>
  </si>
  <si>
    <t xml:space="preserve">Fonte dos dados: banco relacional 'TechStore BR' (SQLite) com 180 clientes, 40 produtos, 8 vendedores e 950 pedidos. Todas as metricas abaixo foram calculadas com consultas SQL (arquivos sql/04 a sql/08 do repositorio) e trazidas para o Excel para visualizacao.</t>
  </si>
  <si>
    <t xml:space="preserve">Evolucao de receita liquida (mensal)</t>
  </si>
  <si>
    <t xml:space="preserve">mes</t>
  </si>
  <si>
    <t xml:space="preserve">receita_liquida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</si>
  <si>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</si>
  <si>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</si>
  <si>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</si>
  <si>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</si>
  <si>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</si>
  <si>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</si>
  <si>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</si>
  <si>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</si>
  <si>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</si>
  <si>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</si>
  <si>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</si>
  <si>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</si>
  <si>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</si>
  <si>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</si>
  <si>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</si>
  <si>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</si>
  <si>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</si>
  <si>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</si>
  <si>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</si>
  <si>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</si>
  <si>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</si>
  <si>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</si>
  <si>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</si>
  <si>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</si>
  <si>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</si>
  <si>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</si>
  <si>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</si>
  <si>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</si>
  <si>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</si>
  <si>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</si>
  <si>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</si>
  <si>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</si>
  <si>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</si>
  <si>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</si>
  <si>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</si>
  <si>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</si>
  <si>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</si>
  <si>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Evolucao mensal da receita liquida</t>
  </si>
  <si>
    <t xml:space="preserve">SELECT strftime('%Y-%m', data_pedido)... GROUP BY mes  --&gt;  sql/08_analise_negocio.sql (consulta 8.1)</t>
  </si>
  <si>
    <t xml:space="preserve">Top 10 produtos por receita</t>
  </si>
  <si>
    <t xml:space="preserve">JOIN itens_pedido + produtos + categorias + pedidos, GROUP BY produto, ORDER BY receita DESC</t>
  </si>
  <si>
    <t xml:space="preserve">nome_produto</t>
  </si>
  <si>
    <t xml:space="preserve">nome_categoria</t>
  </si>
  <si>
    <t xml:space="preserve">unidades_vendidas</t>
  </si>
  <si>
    <t xml:space="preserve">receita</t>
  </si>
  <si>
    <t xml:space="preserve">MacBook Air M2</t>
  </si>
  <si>
    <t xml:space="preserve">Notebooks</t>
  </si>
  <si>
    <t xml:space="preserve">Galaxy S24</t>
  </si>
  <si>
    <t xml:space="preserve">Smartphones</t>
  </si>
  <si>
    <t xml:space="preserve">iPhone 15</t>
  </si>
  <si>
    <t xml:space="preserve">iPhone 13</t>
  </si>
  <si>
    <t xml:space="preserve">Dell Inspiron 15</t>
  </si>
  <si>
    <t xml:space="preserve">Xbox Series X</t>
  </si>
  <si>
    <t xml:space="preserve">Games</t>
  </si>
  <si>
    <t xml:space="preserve">Projetor Epson</t>
  </si>
  <si>
    <t xml:space="preserve">TVs e Video</t>
  </si>
  <si>
    <t xml:space="preserve">Xiaomi 14</t>
  </si>
  <si>
    <t xml:space="preserve">PlayStation 5</t>
  </si>
  <si>
    <t xml:space="preserve">Smart TV Samsung 50 4K</t>
  </si>
  <si>
    <t xml:space="preserve">Participacao da receita por categoria de produto</t>
  </si>
  <si>
    <t xml:space="preserve">GROUP BY categoria com JOIN de 4 tabelas — sql/08_analise_negocio.sql (consulta 8.3)</t>
  </si>
  <si>
    <t xml:space="preserve">Componentes</t>
  </si>
  <si>
    <t xml:space="preserve">Audio</t>
  </si>
  <si>
    <t xml:space="preserve">Perifericos</t>
  </si>
  <si>
    <t xml:space="preserve">Casa Inteligente</t>
  </si>
  <si>
    <t xml:space="preserve">Performance da equipe de vendas</t>
  </si>
  <si>
    <t xml:space="preserve">Receita total, ticket medio e meta mensal por vendedor — sql/08_analise_negocio.sql (consulta 8.4)</t>
  </si>
  <si>
    <t xml:space="preserve">nome_vendedor</t>
  </si>
  <si>
    <t xml:space="preserve">regiao</t>
  </si>
  <si>
    <t xml:space="preserve">qtd_pedidos</t>
  </si>
  <si>
    <t xml:space="preserve">receita_total</t>
  </si>
  <si>
    <t xml:space="preserve">ticket_medio</t>
  </si>
  <si>
    <t xml:space="preserve">meta_mensal</t>
  </si>
  <si>
    <t xml:space="preserve">Henry Rodrigues</t>
  </si>
  <si>
    <t xml:space="preserve">Nordeste</t>
  </si>
  <si>
    <t xml:space="preserve">Bruno da Conceição</t>
  </si>
  <si>
    <t xml:space="preserve">Isabelly Castro</t>
  </si>
  <si>
    <t xml:space="preserve">Sudeste</t>
  </si>
  <si>
    <t xml:space="preserve">Lara Marques</t>
  </si>
  <si>
    <t xml:space="preserve">Sul</t>
  </si>
  <si>
    <t xml:space="preserve">Ian Andrade</t>
  </si>
  <si>
    <t xml:space="preserve">Sr. Léo Fogaça</t>
  </si>
  <si>
    <t xml:space="preserve">Brayan Pereira</t>
  </si>
  <si>
    <t xml:space="preserve">Srta. Ana Clara Ribeiro</t>
  </si>
  <si>
    <t xml:space="preserve">Distribuicao geografica da receita</t>
  </si>
  <si>
    <t xml:space="preserve">JOIN clientes + pedidos + itens_pedido, GROUP BY estado — sql/08_analise_negocio.sql (consulta 8.5)</t>
  </si>
  <si>
    <t xml:space="preserve">estado</t>
  </si>
  <si>
    <t xml:space="preserve">CE</t>
  </si>
  <si>
    <t xml:space="preserve">RS</t>
  </si>
  <si>
    <t xml:space="preserve">PE</t>
  </si>
  <si>
    <t xml:space="preserve">RJ</t>
  </si>
  <si>
    <t xml:space="preserve">SP</t>
  </si>
  <si>
    <t xml:space="preserve">SC</t>
  </si>
  <si>
    <t xml:space="preserve">MG</t>
  </si>
  <si>
    <t xml:space="preserve">DF</t>
  </si>
  <si>
    <t xml:space="preserve">PR</t>
  </si>
  <si>
    <t xml:space="preserve">BA</t>
  </si>
  <si>
    <t xml:space="preserve">Funil de status dos pedidos e formas de pagamento</t>
  </si>
  <si>
    <t xml:space="preserve">sql/08_analise_negocio.sql (consultas 8.6 e 8.7)</t>
  </si>
  <si>
    <t xml:space="preserve">status_pedido</t>
  </si>
  <si>
    <t xml:space="preserve">percentual</t>
  </si>
  <si>
    <t xml:space="preserve">Concluido</t>
  </si>
  <si>
    <t xml:space="preserve">Devolvido</t>
  </si>
  <si>
    <t xml:space="preserve">Cancelado</t>
  </si>
  <si>
    <t xml:space="preserve">Em processamento</t>
  </si>
  <si>
    <t xml:space="preserve">Formas de pagamento</t>
  </si>
  <si>
    <t xml:space="preserve">forma_pagamento</t>
  </si>
  <si>
    <t xml:space="preserve">Pix</t>
  </si>
  <si>
    <t xml:space="preserve">Cartao de Debito</t>
  </si>
  <si>
    <t xml:space="preserve">Boleto</t>
  </si>
  <si>
    <t xml:space="preserve">Cartao de Credito</t>
  </si>
  <si>
    <t xml:space="preserve">Top 20 clientes por valor gasto (analise RFM simplificada)</t>
  </si>
  <si>
    <t xml:space="preserve">Recencia, Frequencia e Valor — sql/08_analise_negocio.sql (consulta 8.8)</t>
  </si>
  <si>
    <t xml:space="preserve">nome_cliente</t>
  </si>
  <si>
    <t xml:space="preserve">segmento</t>
  </si>
  <si>
    <t xml:space="preserve">dias_desde_ultima_compra</t>
  </si>
  <si>
    <t xml:space="preserve">frequencia_pedidos</t>
  </si>
  <si>
    <t xml:space="preserve">valor_total_gasto</t>
  </si>
  <si>
    <t xml:space="preserve">Pedro Cardoso</t>
  </si>
  <si>
    <t xml:space="preserve">Varejo</t>
  </si>
  <si>
    <t xml:space="preserve">Rafael Barbosa</t>
  </si>
  <si>
    <t xml:space="preserve">José Miguel da Rocha</t>
  </si>
  <si>
    <t xml:space="preserve">Davi Lucas Melo</t>
  </si>
  <si>
    <t xml:space="preserve">Pedro Miguel Novaes</t>
  </si>
  <si>
    <t xml:space="preserve">Sr. Lucas Gabriel Azevedo</t>
  </si>
  <si>
    <t xml:space="preserve">Arthur Miguel Caldeira</t>
  </si>
  <si>
    <t xml:space="preserve">Josué Rios</t>
  </si>
  <si>
    <t xml:space="preserve">Caleb da Rocha</t>
  </si>
  <si>
    <t xml:space="preserve">Zoe Rodrigues</t>
  </si>
  <si>
    <t xml:space="preserve">Vitor Gabriel Machado</t>
  </si>
  <si>
    <t xml:space="preserve">Murilo Teixeira</t>
  </si>
  <si>
    <t xml:space="preserve">Letícia Porto</t>
  </si>
  <si>
    <t xml:space="preserve">Clarice Monteiro</t>
  </si>
  <si>
    <t xml:space="preserve">Enzo Jesus</t>
  </si>
  <si>
    <t xml:space="preserve">Dr. Luigi da Mota</t>
  </si>
  <si>
    <t xml:space="preserve">Caleb Lopes</t>
  </si>
  <si>
    <t xml:space="preserve">Anna Liz Farias</t>
  </si>
  <si>
    <t xml:space="preserve">Heloisa Lima</t>
  </si>
  <si>
    <t xml:space="preserve">Alícia Teixeira</t>
  </si>
  <si>
    <t xml:space="preserve">Corporativo</t>
  </si>
  <si>
    <t xml:space="preserve">Giro de estoque por produto</t>
  </si>
  <si>
    <t xml:space="preserve">LEFT JOIN produtos + itens_pedido (identifica produtos parados) — view vw_performance_produtos</t>
  </si>
  <si>
    <t xml:space="preserve">estoque_atual</t>
  </si>
  <si>
    <t xml:space="preserve">margem_pct</t>
  </si>
  <si>
    <t xml:space="preserve">Camera de Seguranca Wifi</t>
  </si>
  <si>
    <t xml:space="preserve">Mouse Logitech MX</t>
  </si>
  <si>
    <t xml:space="preserve">Headset HyperX Cloud</t>
  </si>
  <si>
    <t xml:space="preserve">Fone JBL Tune 510BT</t>
  </si>
  <si>
    <t xml:space="preserve">Teclado Mecanico Redragon</t>
  </si>
  <si>
    <t xml:space="preserve">Lampada Inteligente Philips</t>
  </si>
  <si>
    <t xml:space="preserve">Assistente Alexa Echo Dot</t>
  </si>
  <si>
    <t xml:space="preserve">Fonte 650W</t>
  </si>
  <si>
    <t xml:space="preserve">Asus Vivobook</t>
  </si>
  <si>
    <t xml:space="preserve">Acer Aspire 5</t>
  </si>
  <si>
    <t xml:space="preserve">Fechadura Digital</t>
  </si>
  <si>
    <t xml:space="preserve">Nintendo Switch OLED</t>
  </si>
  <si>
    <t xml:space="preserve">Lenovo IdeaPad 3</t>
  </si>
  <si>
    <t xml:space="preserve">Soundbar JBL</t>
  </si>
  <si>
    <t xml:space="preserve">Caixa de Som Bluetooth Sony</t>
  </si>
  <si>
    <t xml:space="preserve">Headset Gamer Corsair</t>
  </si>
  <si>
    <t xml:space="preserve">Moto Edge 50</t>
  </si>
  <si>
    <t xml:space="preserve">Webcam Logitech C920</t>
  </si>
  <si>
    <t xml:space="preserve">Controle DualSense</t>
  </si>
  <si>
    <t xml:space="preserve">Processador Ryzen 7</t>
  </si>
  <si>
    <t xml:space="preserve">Memoria RAM 16GB</t>
  </si>
  <si>
    <t xml:space="preserve">Chromecast Google TV</t>
  </si>
  <si>
    <t xml:space="preserve">Jogo FIFA 25</t>
  </si>
  <si>
    <t xml:space="preserve">Fone Bose QC45</t>
  </si>
  <si>
    <t xml:space="preserve">Placa de Video RTX 4060</t>
  </si>
  <si>
    <t xml:space="preserve">Fone AirPods Pro</t>
  </si>
  <si>
    <t xml:space="preserve">Smart TV LG 55 4K</t>
  </si>
  <si>
    <t xml:space="preserve">Mousepad Gamer XL</t>
  </si>
  <si>
    <t xml:space="preserve">Tomada Inteligente</t>
  </si>
  <si>
    <t xml:space="preserve">SSD NVMe 1TB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</si>
</sst>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20"/>
      <color rgb="FF1F2A4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8"/>
        <bgColor rgb="FFF9F9F9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D9D9D9"/>
      <rgbColor rgb="FF878787"/>
      <rgbColor rgb="FF93A9CE"/>
      <rgbColor rgb="FFAB4744"/>
      <rgbColor rgb="FFF9F9F9"/>
      <rgbColor rgb="FFF4F6F8"/>
      <rgbColor rgb="FF660066"/>
      <rgbColor rgb="FFDC853E"/>
      <rgbColor rgb="FF2E5EAA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8064A2"/>
      <rgbColor rgb="FFFFCC99"/>
      <rgbColor rgb="FF4672A8"/>
      <rgbColor rgb="FF4299B0"/>
      <rgbColor rgb="FF9BBB59"/>
      <rgbColor rgb="FFFFCC00"/>
      <rgbColor rgb="FFF2994A"/>
      <rgbColor rgb="FFFF6600"/>
      <rgbColor rgb="FF725990"/>
      <rgbColor rgb="FF888888"/>
      <rgbColor rgb="FF003366"/>
      <rgbColor rgb="FF27AE60"/>
      <rgbColor rgb="FF003300"/>
      <rgbColor rgb="FF333300"/>
      <rgbColor rgb="FF993300"/>
      <rgbColor rgb="FFC0504D"/>
      <rgbColor rgb="FF666666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Liquida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'Resumo Executivo'!C13</c:f>
              <c:strCache>
                <c:ptCount val="1"/>
                <c:pt idx="0">
                  <c:v>receita_liquida</c:v>
                </c:pt>
              </c:strCache>
            </c:strRef>
          </c:tx>
          <c:spPr>
            <a:solidFill>
              <a:srgbClr val="2e5eaa"/>
            </a:solidFill>
            <a:ln w="2484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Executivo'!$B$14:$B$50</c:f>
              <c:strCache>
                <c:ptCount val="37"/>
                <c:pt idx="0">
                  <c:v>2023-09</c:v>
                </c:pt>
                <c:pt idx="1">
                  <c:v>2023-10</c:v>
                </c:pt>
                <c:pt idx="2">
                  <c:v>2023-11</c:v>
                </c:pt>
                <c:pt idx="3">
                  <c:v>2023-12</c:v>
                </c:pt>
                <c:pt idx="4">
                  <c:v>2024-01</c:v>
                </c:pt>
                <c:pt idx="5">
                  <c:v>2024-02</c:v>
                </c:pt>
                <c:pt idx="6">
                  <c:v>2024-03</c:v>
                </c:pt>
                <c:pt idx="7">
                  <c:v>2024-04</c:v>
                </c:pt>
                <c:pt idx="8">
                  <c:v>2024-05</c:v>
                </c:pt>
                <c:pt idx="9">
                  <c:v>2024-06</c:v>
                </c:pt>
                <c:pt idx="10">
                  <c:v>2024-07</c:v>
                </c:pt>
                <c:pt idx="11">
                  <c:v>2024-08</c:v>
                </c:pt>
                <c:pt idx="12">
                  <c:v>2024-09</c:v>
                </c:pt>
                <c:pt idx="13">
                  <c:v>2024-10</c:v>
                </c:pt>
                <c:pt idx="14">
                  <c:v>2024-11</c:v>
                </c:pt>
                <c:pt idx="15">
                  <c:v>2024-12</c:v>
                </c:pt>
                <c:pt idx="16">
                  <c:v>2025-01</c:v>
                </c:pt>
                <c:pt idx="17">
                  <c:v>2025-02</c:v>
                </c:pt>
                <c:pt idx="18">
                  <c:v>2025-03</c:v>
                </c:pt>
                <c:pt idx="19">
                  <c:v>2025-04</c:v>
                </c:pt>
                <c:pt idx="20">
                  <c:v>2025-05</c:v>
                </c:pt>
                <c:pt idx="21">
                  <c:v>2025-06</c:v>
                </c:pt>
                <c:pt idx="22">
                  <c:v>2025-07</c:v>
                </c:pt>
                <c:pt idx="23">
                  <c:v>2025-08</c:v>
                </c:pt>
                <c:pt idx="24">
                  <c:v>2025-09</c:v>
                </c:pt>
                <c:pt idx="25">
                  <c:v>2025-10</c:v>
                </c:pt>
                <c:pt idx="26">
                  <c:v>2025-11</c:v>
                </c:pt>
                <c:pt idx="27">
                  <c:v>2025-12</c:v>
                </c:pt>
                <c:pt idx="28">
                  <c:v>2026-01</c:v>
                </c:pt>
                <c:pt idx="29">
                  <c:v>2026-02</c:v>
                </c:pt>
                <c:pt idx="30">
                  <c:v>2026-03</c:v>
                </c:pt>
                <c:pt idx="31">
                  <c:v>2026-04</c:v>
                </c:pt>
                <c:pt idx="32">
                  <c:v>2026-05</c:v>
                </c:pt>
                <c:pt idx="33">
                  <c:v>2026-06</c:v>
                </c:pt>
                <c:pt idx="34">
                  <c:v>2026-07</c:v>
                </c:pt>
                <c:pt idx="35">
                  <c:v>2026-08</c:v>
                </c:pt>
                <c:pt idx="36">
                  <c:v>2026-09</c:v>
                </c:pt>
              </c:strCache>
            </c:strRef>
          </c:cat>
          <c:val>
            <c:numRef>
              <c:f>'Resumo Executivo'!$C$14:$C$50</c:f>
              <c:numCache>
                <c:formatCode>"R$ "#,##0.00</c:formatCode>
                <c:ptCount val="37"/>
                <c:pt idx="0">
                  <c:v>127961.25</c:v>
                </c:pt>
                <c:pt idx="1">
                  <c:v>119681.95</c:v>
                </c:pt>
                <c:pt idx="2">
                  <c:v>195618.9</c:v>
                </c:pt>
                <c:pt idx="3">
                  <c:v>399303.4</c:v>
                </c:pt>
                <c:pt idx="4">
                  <c:v>122148.45</c:v>
                </c:pt>
                <c:pt idx="5">
                  <c:v>165576.85</c:v>
                </c:pt>
                <c:pt idx="6">
                  <c:v>167668.2</c:v>
                </c:pt>
                <c:pt idx="7">
                  <c:v>186603.05</c:v>
                </c:pt>
                <c:pt idx="8">
                  <c:v>167665.05</c:v>
                </c:pt>
                <c:pt idx="9">
                  <c:v>134388.4</c:v>
                </c:pt>
                <c:pt idx="10">
                  <c:v>39697.45</c:v>
                </c:pt>
                <c:pt idx="11">
                  <c:v>151432.3</c:v>
                </c:pt>
                <c:pt idx="12">
                  <c:v>89247.25</c:v>
                </c:pt>
                <c:pt idx="13">
                  <c:v>86224.1</c:v>
                </c:pt>
                <c:pt idx="14">
                  <c:v>119477.15</c:v>
                </c:pt>
                <c:pt idx="15">
                  <c:v>237425.1</c:v>
                </c:pt>
                <c:pt idx="16">
                  <c:v>103514.65</c:v>
                </c:pt>
                <c:pt idx="17">
                  <c:v>121600.6</c:v>
                </c:pt>
                <c:pt idx="18">
                  <c:v>99879.7</c:v>
                </c:pt>
                <c:pt idx="19">
                  <c:v>91282.95</c:v>
                </c:pt>
                <c:pt idx="20">
                  <c:v>63731.4</c:v>
                </c:pt>
                <c:pt idx="21">
                  <c:v>133172.95</c:v>
                </c:pt>
                <c:pt idx="22">
                  <c:v>85904.05</c:v>
                </c:pt>
                <c:pt idx="23">
                  <c:v>148967.8</c:v>
                </c:pt>
                <c:pt idx="24">
                  <c:v>136185</c:v>
                </c:pt>
                <c:pt idx="25">
                  <c:v>165066.5</c:v>
                </c:pt>
                <c:pt idx="26">
                  <c:v>270989.95</c:v>
                </c:pt>
                <c:pt idx="27">
                  <c:v>390605.5</c:v>
                </c:pt>
                <c:pt idx="28">
                  <c:v>96457.15</c:v>
                </c:pt>
                <c:pt idx="29">
                  <c:v>149152.8</c:v>
                </c:pt>
                <c:pt idx="30">
                  <c:v>152778.55</c:v>
                </c:pt>
                <c:pt idx="31">
                  <c:v>150272.55</c:v>
                </c:pt>
                <c:pt idx="32">
                  <c:v>104358.15</c:v>
                </c:pt>
                <c:pt idx="33">
                  <c:v>102374.5</c:v>
                </c:pt>
                <c:pt idx="34">
                  <c:v>83281.4</c:v>
                </c:pt>
                <c:pt idx="35">
                  <c:v>93878.5</c:v>
                </c:pt>
                <c:pt idx="36">
                  <c:v>30432.7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810053"/>
        <c:axId val="59970243"/>
      </c:lineChart>
      <c:catAx>
        <c:axId val="268100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70243"/>
        <c:crosses val="autoZero"/>
        <c:auto val="1"/>
        <c:lblAlgn val="ctr"/>
        <c:lblOffset val="100"/>
        <c:noMultiLvlLbl val="0"/>
      </c:catAx>
      <c:valAx>
        <c:axId val="59970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10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Liquida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'Receita Mensal'!C5</c:f>
              <c:strCache>
                <c:ptCount val="1"/>
                <c:pt idx="0">
                  <c:v>receita_liquida</c:v>
                </c:pt>
              </c:strCache>
            </c:strRef>
          </c:tx>
          <c:spPr>
            <a:solidFill>
              <a:srgbClr val="2e5eaa"/>
            </a:solidFill>
            <a:ln w="21960">
              <a:solidFill>
                <a:srgbClr val="2e5e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'Receita Mensal'!$B$6:$B$42</c:f>
              <c:strCache>
                <c:ptCount val="37"/>
                <c:pt idx="0">
                  <c:v>2023-09</c:v>
                </c:pt>
                <c:pt idx="1">
                  <c:v>2023-10</c:v>
                </c:pt>
                <c:pt idx="2">
                  <c:v>2023-11</c:v>
                </c:pt>
                <c:pt idx="3">
                  <c:v>2023-12</c:v>
                </c:pt>
                <c:pt idx="4">
                  <c:v>2024-01</c:v>
                </c:pt>
                <c:pt idx="5">
                  <c:v>2024-02</c:v>
                </c:pt>
                <c:pt idx="6">
                  <c:v>2024-03</c:v>
                </c:pt>
                <c:pt idx="7">
                  <c:v>2024-04</c:v>
                </c:pt>
                <c:pt idx="8">
                  <c:v>2024-05</c:v>
                </c:pt>
                <c:pt idx="9">
                  <c:v>2024-06</c:v>
                </c:pt>
                <c:pt idx="10">
                  <c:v>2024-07</c:v>
                </c:pt>
                <c:pt idx="11">
                  <c:v>2024-08</c:v>
                </c:pt>
                <c:pt idx="12">
                  <c:v>2024-09</c:v>
                </c:pt>
                <c:pt idx="13">
                  <c:v>2024-10</c:v>
                </c:pt>
                <c:pt idx="14">
                  <c:v>2024-11</c:v>
                </c:pt>
                <c:pt idx="15">
                  <c:v>2024-12</c:v>
                </c:pt>
                <c:pt idx="16">
                  <c:v>2025-01</c:v>
                </c:pt>
                <c:pt idx="17">
                  <c:v>2025-02</c:v>
                </c:pt>
                <c:pt idx="18">
                  <c:v>2025-03</c:v>
                </c:pt>
                <c:pt idx="19">
                  <c:v>2025-04</c:v>
                </c:pt>
                <c:pt idx="20">
                  <c:v>2025-05</c:v>
                </c:pt>
                <c:pt idx="21">
                  <c:v>2025-06</c:v>
                </c:pt>
                <c:pt idx="22">
                  <c:v>2025-07</c:v>
                </c:pt>
                <c:pt idx="23">
                  <c:v>2025-08</c:v>
                </c:pt>
                <c:pt idx="24">
                  <c:v>2025-09</c:v>
                </c:pt>
                <c:pt idx="25">
                  <c:v>2025-10</c:v>
                </c:pt>
                <c:pt idx="26">
                  <c:v>2025-11</c:v>
                </c:pt>
                <c:pt idx="27">
                  <c:v>2025-12</c:v>
                </c:pt>
                <c:pt idx="28">
                  <c:v>2026-01</c:v>
                </c:pt>
                <c:pt idx="29">
                  <c:v>2026-02</c:v>
                </c:pt>
                <c:pt idx="30">
                  <c:v>2026-03</c:v>
                </c:pt>
                <c:pt idx="31">
                  <c:v>2026-04</c:v>
                </c:pt>
                <c:pt idx="32">
                  <c:v>2026-05</c:v>
                </c:pt>
                <c:pt idx="33">
                  <c:v>2026-06</c:v>
                </c:pt>
                <c:pt idx="34">
                  <c:v>2026-07</c:v>
                </c:pt>
                <c:pt idx="35">
                  <c:v>2026-08</c:v>
                </c:pt>
                <c:pt idx="36">
                  <c:v>2026-09</c:v>
                </c:pt>
              </c:strCache>
            </c:strRef>
          </c:cat>
          <c:val>
            <c:numRef>
              <c:f>'Receita Mensal'!$C$6:$C$42</c:f>
              <c:numCache>
                <c:formatCode>"R$ "#,##0.00</c:formatCode>
                <c:ptCount val="37"/>
                <c:pt idx="0">
                  <c:v>127961.25</c:v>
                </c:pt>
                <c:pt idx="1">
                  <c:v>119681.95</c:v>
                </c:pt>
                <c:pt idx="2">
                  <c:v>195618.9</c:v>
                </c:pt>
                <c:pt idx="3">
                  <c:v>399303.4</c:v>
                </c:pt>
                <c:pt idx="4">
                  <c:v>122148.45</c:v>
                </c:pt>
                <c:pt idx="5">
                  <c:v>165576.85</c:v>
                </c:pt>
                <c:pt idx="6">
                  <c:v>167668.2</c:v>
                </c:pt>
                <c:pt idx="7">
                  <c:v>186603.05</c:v>
                </c:pt>
                <c:pt idx="8">
                  <c:v>167665.05</c:v>
                </c:pt>
                <c:pt idx="9">
                  <c:v>134388.4</c:v>
                </c:pt>
                <c:pt idx="10">
                  <c:v>39697.45</c:v>
                </c:pt>
                <c:pt idx="11">
                  <c:v>151432.3</c:v>
                </c:pt>
                <c:pt idx="12">
                  <c:v>89247.25</c:v>
                </c:pt>
                <c:pt idx="13">
                  <c:v>86224.1</c:v>
                </c:pt>
                <c:pt idx="14">
                  <c:v>119477.15</c:v>
                </c:pt>
                <c:pt idx="15">
                  <c:v>237425.1</c:v>
                </c:pt>
                <c:pt idx="16">
                  <c:v>103514.65</c:v>
                </c:pt>
                <c:pt idx="17">
                  <c:v>121600.6</c:v>
                </c:pt>
                <c:pt idx="18">
                  <c:v>99879.7</c:v>
                </c:pt>
                <c:pt idx="19">
                  <c:v>91282.95</c:v>
                </c:pt>
                <c:pt idx="20">
                  <c:v>63731.4</c:v>
                </c:pt>
                <c:pt idx="21">
                  <c:v>133172.95</c:v>
                </c:pt>
                <c:pt idx="22">
                  <c:v>85904.05</c:v>
                </c:pt>
                <c:pt idx="23">
                  <c:v>148967.8</c:v>
                </c:pt>
                <c:pt idx="24">
                  <c:v>136185</c:v>
                </c:pt>
                <c:pt idx="25">
                  <c:v>165066.5</c:v>
                </c:pt>
                <c:pt idx="26">
                  <c:v>270989.95</c:v>
                </c:pt>
                <c:pt idx="27">
                  <c:v>390605.5</c:v>
                </c:pt>
                <c:pt idx="28">
                  <c:v>96457.15</c:v>
                </c:pt>
                <c:pt idx="29">
                  <c:v>149152.8</c:v>
                </c:pt>
                <c:pt idx="30">
                  <c:v>152778.55</c:v>
                </c:pt>
                <c:pt idx="31">
                  <c:v>150272.55</c:v>
                </c:pt>
                <c:pt idx="32">
                  <c:v>104358.15</c:v>
                </c:pt>
                <c:pt idx="33">
                  <c:v>102374.5</c:v>
                </c:pt>
                <c:pt idx="34">
                  <c:v>83281.4</c:v>
                </c:pt>
                <c:pt idx="35">
                  <c:v>93878.5</c:v>
                </c:pt>
                <c:pt idx="36">
                  <c:v>30432.7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19529"/>
        <c:axId val="66306596"/>
      </c:lineChart>
      <c:catAx>
        <c:axId val="41119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6596"/>
        <c:crosses val="autoZero"/>
        <c:auto val="1"/>
        <c:lblAlgn val="ctr"/>
        <c:lblOffset val="100"/>
        <c:noMultiLvlLbl val="0"/>
      </c:catAx>
      <c:valAx>
        <c:axId val="66306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19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Produtos por Receita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Produtos'!E5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f299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Produtos'!$B$6:$B$15</c:f>
              <c:strCache>
                <c:ptCount val="10"/>
                <c:pt idx="0">
                  <c:v>MacBook Air M2</c:v>
                </c:pt>
                <c:pt idx="1">
                  <c:v>Galaxy S24</c:v>
                </c:pt>
                <c:pt idx="2">
                  <c:v>iPhone 15</c:v>
                </c:pt>
                <c:pt idx="3">
                  <c:v>iPhone 13</c:v>
                </c:pt>
                <c:pt idx="4">
                  <c:v>Dell Inspiron 15</c:v>
                </c:pt>
                <c:pt idx="5">
                  <c:v>Xbox Series X</c:v>
                </c:pt>
                <c:pt idx="6">
                  <c:v>Projetor Epson</c:v>
                </c:pt>
                <c:pt idx="7">
                  <c:v>Xiaomi 14</c:v>
                </c:pt>
                <c:pt idx="8">
                  <c:v>PlayStation 5</c:v>
                </c:pt>
                <c:pt idx="9">
                  <c:v>Smart TV Samsung 50 4K</c:v>
                </c:pt>
              </c:strCache>
            </c:strRef>
          </c:cat>
          <c:val>
            <c:numRef>
              <c:f>'Top Produtos'!$E$6:$E$15</c:f>
              <c:numCache>
                <c:formatCode>"R$ "#,##0.00</c:formatCode>
                <c:ptCount val="10"/>
                <c:pt idx="0">
                  <c:v>785421.45</c:v>
                </c:pt>
                <c:pt idx="1">
                  <c:v>412953.95</c:v>
                </c:pt>
                <c:pt idx="2">
                  <c:v>336243.95</c:v>
                </c:pt>
                <c:pt idx="3">
                  <c:v>315921</c:v>
                </c:pt>
                <c:pt idx="4">
                  <c:v>297841.6</c:v>
                </c:pt>
                <c:pt idx="5">
                  <c:v>240666.65</c:v>
                </c:pt>
                <c:pt idx="6">
                  <c:v>236726</c:v>
                </c:pt>
                <c:pt idx="7">
                  <c:v>233074.35</c:v>
                </c:pt>
                <c:pt idx="8">
                  <c:v>223744.05</c:v>
                </c:pt>
                <c:pt idx="9">
                  <c:v>199603.2</c:v>
                </c:pt>
              </c:numCache>
            </c:numRef>
          </c:val>
        </c:ser>
        <c:gapWidth val="150"/>
        <c:overlap val="0"/>
        <c:axId val="33945187"/>
        <c:axId val="32225341"/>
      </c:barChart>
      <c:catAx>
        <c:axId val="3394518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25341"/>
        <c:crosses val="autoZero"/>
        <c:auto val="1"/>
        <c:lblAlgn val="ctr"/>
        <c:lblOffset val="100"/>
        <c:noMultiLvlLbl val="0"/>
      </c:catAx>
      <c:valAx>
        <c:axId val="32225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5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'Receita por Categoria'!C5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'Receita por Categoria'!$B$6:$B$13</c:f>
              <c:strCache>
                <c:ptCount val="8"/>
                <c:pt idx="0">
                  <c:v>Notebooks</c:v>
                </c:pt>
                <c:pt idx="1">
                  <c:v>Smartphones</c:v>
                </c:pt>
                <c:pt idx="2">
                  <c:v>TVs e Video</c:v>
                </c:pt>
                <c:pt idx="3">
                  <c:v>Games</c:v>
                </c:pt>
                <c:pt idx="4">
                  <c:v>Componentes</c:v>
                </c:pt>
                <c:pt idx="5">
                  <c:v>Audio</c:v>
                </c:pt>
                <c:pt idx="6">
                  <c:v>Perifericos</c:v>
                </c:pt>
                <c:pt idx="7">
                  <c:v>Casa Inteligente</c:v>
                </c:pt>
              </c:strCache>
            </c:strRef>
          </c:cat>
          <c:val>
            <c:numRef>
              <c:f>'Receita por Categoria'!$C$6:$C$13</c:f>
              <c:numCache>
                <c:formatCode>"R$ "#,##0.00</c:formatCode>
                <c:ptCount val="8"/>
                <c:pt idx="0">
                  <c:v>1645486.6</c:v>
                </c:pt>
                <c:pt idx="1">
                  <c:v>1406748</c:v>
                </c:pt>
                <c:pt idx="2">
                  <c:v>677774.1</c:v>
                </c:pt>
                <c:pt idx="3">
                  <c:v>668741.75</c:v>
                </c:pt>
                <c:pt idx="4">
                  <c:v>341841.4</c:v>
                </c:pt>
                <c:pt idx="5">
                  <c:v>305312.65</c:v>
                </c:pt>
                <c:pt idx="6">
                  <c:v>123952.9</c:v>
                </c:pt>
                <c:pt idx="7">
                  <c:v>114148.8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Total vs Meta Mensal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'Performance Vendedores'!E5</c:f>
              <c:strCache>
                <c:ptCount val="1"/>
                <c:pt idx="0">
                  <c:v>receita_total</c:v>
                </c:pt>
              </c:strCache>
            </c:strRef>
          </c:tx>
          <c:spPr>
            <a:solidFill>
              <a:srgbClr val="2e5e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Vendedores'!$B$6:$B$13</c:f>
              <c:strCache>
                <c:ptCount val="8"/>
                <c:pt idx="0">
                  <c:v>Henry Rodrigues</c:v>
                </c:pt>
                <c:pt idx="1">
                  <c:v>Bruno da Conceição</c:v>
                </c:pt>
                <c:pt idx="2">
                  <c:v>Isabelly Castro</c:v>
                </c:pt>
                <c:pt idx="3">
                  <c:v>Lara Marques</c:v>
                </c:pt>
                <c:pt idx="4">
                  <c:v>Ian Andrade</c:v>
                </c:pt>
                <c:pt idx="5">
                  <c:v>Sr. Léo Fogaça</c:v>
                </c:pt>
                <c:pt idx="6">
                  <c:v>Brayan Pereira</c:v>
                </c:pt>
                <c:pt idx="7">
                  <c:v>Srta. Ana Clara Ribeiro</c:v>
                </c:pt>
              </c:strCache>
            </c:strRef>
          </c:cat>
          <c:val>
            <c:numRef>
              <c:f>'Performance Vendedores'!$E$6:$E$13</c:f>
              <c:numCache>
                <c:formatCode>"R$ "#,##0.00</c:formatCode>
                <c:ptCount val="8"/>
                <c:pt idx="0">
                  <c:v>886638.9</c:v>
                </c:pt>
                <c:pt idx="1">
                  <c:v>820109.4</c:v>
                </c:pt>
                <c:pt idx="2">
                  <c:v>690081.4</c:v>
                </c:pt>
                <c:pt idx="3">
                  <c:v>628403.65</c:v>
                </c:pt>
                <c:pt idx="4">
                  <c:v>617356.25</c:v>
                </c:pt>
                <c:pt idx="5">
                  <c:v>557344.7</c:v>
                </c:pt>
                <c:pt idx="6">
                  <c:v>553294.2</c:v>
                </c:pt>
                <c:pt idx="7">
                  <c:v>530777.7</c:v>
                </c:pt>
              </c:numCache>
            </c:numRef>
          </c:val>
        </c:ser>
        <c:ser>
          <c:idx val="1"/>
          <c:order val="1"/>
          <c:tx>
            <c:strRef>
              <c:f>'Performance Vendedores'!H5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9ce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Vendedores'!$B$6:$B$13</c:f>
              <c:strCache>
                <c:ptCount val="8"/>
                <c:pt idx="0">
                  <c:v>Henry Rodrigues</c:v>
                </c:pt>
                <c:pt idx="1">
                  <c:v>Bruno da Conceição</c:v>
                </c:pt>
                <c:pt idx="2">
                  <c:v>Isabelly Castro</c:v>
                </c:pt>
                <c:pt idx="3">
                  <c:v>Lara Marques</c:v>
                </c:pt>
                <c:pt idx="4">
                  <c:v>Ian Andrade</c:v>
                </c:pt>
                <c:pt idx="5">
                  <c:v>Sr. Léo Fogaça</c:v>
                </c:pt>
                <c:pt idx="6">
                  <c:v>Brayan Pereira</c:v>
                </c:pt>
                <c:pt idx="7">
                  <c:v>Srta. Ana Clara Ribeiro</c:v>
                </c:pt>
              </c:strCache>
            </c:strRef>
          </c:cat>
          <c:val>
            <c:numRef>
              <c:f>'Performance Vendedores'!$H$6:$H$13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8165486"/>
        <c:axId val="12793020"/>
      </c:barChart>
      <c:catAx>
        <c:axId val="8165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93020"/>
        <c:crosses val="autoZero"/>
        <c:auto val="1"/>
        <c:lblAlgn val="ctr"/>
        <c:lblOffset val="100"/>
        <c:noMultiLvlLbl val="0"/>
      </c:catAx>
      <c:valAx>
        <c:axId val="12793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5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Estado (UF)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'Receita por Estado'!D5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'Receita por Estado'!$B$6:$B$15</c:f>
              <c:strCache>
                <c:ptCount val="10"/>
                <c:pt idx="0">
                  <c:v>CE</c:v>
                </c:pt>
                <c:pt idx="1">
                  <c:v>RS</c:v>
                </c:pt>
                <c:pt idx="2">
                  <c:v>PE</c:v>
                </c:pt>
                <c:pt idx="3">
                  <c:v>RJ</c:v>
                </c:pt>
                <c:pt idx="4">
                  <c:v>SP</c:v>
                </c:pt>
                <c:pt idx="5">
                  <c:v>SC</c:v>
                </c:pt>
                <c:pt idx="6">
                  <c:v>MG</c:v>
                </c:pt>
                <c:pt idx="7">
                  <c:v>DF</c:v>
                </c:pt>
                <c:pt idx="8">
                  <c:v>PR</c:v>
                </c:pt>
                <c:pt idx="9">
                  <c:v>BA</c:v>
                </c:pt>
              </c:strCache>
            </c:strRef>
          </c:cat>
          <c:val>
            <c:numRef>
              <c:f>'Receita por Estado'!$D$6:$D$15</c:f>
              <c:numCache>
                <c:formatCode>"R$ "#,##0.00</c:formatCode>
                <c:ptCount val="10"/>
                <c:pt idx="0">
                  <c:v>725610.55</c:v>
                </c:pt>
                <c:pt idx="1">
                  <c:v>692176.6</c:v>
                </c:pt>
                <c:pt idx="2">
                  <c:v>663890.55</c:v>
                </c:pt>
                <c:pt idx="3">
                  <c:v>646665.9</c:v>
                </c:pt>
                <c:pt idx="4">
                  <c:v>547425.45</c:v>
                </c:pt>
                <c:pt idx="5">
                  <c:v>463747.35</c:v>
                </c:pt>
                <c:pt idx="6">
                  <c:v>461621.7</c:v>
                </c:pt>
                <c:pt idx="7">
                  <c:v>435015.95</c:v>
                </c:pt>
                <c:pt idx="8">
                  <c:v>360749.1</c:v>
                </c:pt>
                <c:pt idx="9">
                  <c:v>287103.05</c:v>
                </c:pt>
              </c:numCache>
            </c:numRef>
          </c:val>
        </c:ser>
        <c:gapWidth val="150"/>
        <c:overlap val="0"/>
        <c:axId val="12221238"/>
        <c:axId val="22535747"/>
      </c:barChart>
      <c:catAx>
        <c:axId val="12221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35747"/>
        <c:crosses val="autoZero"/>
        <c:auto val="1"/>
        <c:lblAlgn val="ctr"/>
        <c:lblOffset val="100"/>
        <c:noMultiLvlLbl val="0"/>
      </c:catAx>
      <c:valAx>
        <c:axId val="22535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21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dos Pedidos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'Status e Pagamento'!C5</c:f>
              <c:strCache>
                <c:ptCount val="1"/>
                <c:pt idx="0">
                  <c:v>qtd_pedidos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'Status e Pagamento'!$B$6:$B$9</c:f>
              <c:strCache>
                <c:ptCount val="4"/>
                <c:pt idx="0">
                  <c:v>Concluido</c:v>
                </c:pt>
                <c:pt idx="1">
                  <c:v>Devolvido</c:v>
                </c:pt>
                <c:pt idx="2">
                  <c:v>Cancelado</c:v>
                </c:pt>
                <c:pt idx="3">
                  <c:v>Em processamento</c:v>
                </c:pt>
              </c:strCache>
            </c:strRef>
          </c:cat>
          <c:val>
            <c:numRef>
              <c:f>'Status e Pagamento'!$C$6:$C$9</c:f>
              <c:numCache>
                <c:formatCode>General</c:formatCode>
                <c:ptCount val="4"/>
                <c:pt idx="0">
                  <c:v>517</c:v>
                </c:pt>
                <c:pt idx="1">
                  <c:v>148</c:v>
                </c:pt>
                <c:pt idx="2">
                  <c:v>144</c:v>
                </c:pt>
                <c:pt idx="3">
                  <c:v>141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Formas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'Status e Pagamento'!C13</c:f>
              <c:strCache>
                <c:ptCount val="1"/>
                <c:pt idx="0">
                  <c:v>qtd_pedidos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'Status e Pagamento'!$B$14:$B$17</c:f>
              <c:strCache>
                <c:ptCount val="4"/>
                <c:pt idx="0">
                  <c:v>Pix</c:v>
                </c:pt>
                <c:pt idx="1">
                  <c:v>Cartao de Debito</c:v>
                </c:pt>
                <c:pt idx="2">
                  <c:v>Boleto</c:v>
                </c:pt>
                <c:pt idx="3">
                  <c:v>Cartao de Credito</c:v>
                </c:pt>
              </c:strCache>
            </c:strRef>
          </c:cat>
          <c:val>
            <c:numRef>
              <c:f>'Status e Pagamento'!$C$14:$C$17</c:f>
              <c:numCache>
                <c:formatCode>General</c:formatCode>
                <c:ptCount val="4"/>
                <c:pt idx="0">
                  <c:v>246</c:v>
                </c:pt>
                <c:pt idx="1">
                  <c:v>241</c:v>
                </c:pt>
                <c:pt idx="2">
                  <c:v>238</c:v>
                </c:pt>
                <c:pt idx="3">
                  <c:v>225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Clientes por Valor Total Gasto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Clientes (RFM)'!G5</c:f>
              <c:strCache>
                <c:ptCount val="1"/>
                <c:pt idx="0">
                  <c:v>valor_total_gasto</c:v>
                </c:pt>
              </c:strCache>
            </c:strRef>
          </c:tx>
          <c:spPr>
            <a:solidFill>
              <a:srgbClr val="2e5e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Clientes (RFM)'!$B$6:$B$15</c:f>
              <c:strCache>
                <c:ptCount val="10"/>
                <c:pt idx="0">
                  <c:v>Pedro Cardoso</c:v>
                </c:pt>
                <c:pt idx="1">
                  <c:v>Rafael Barbosa</c:v>
                </c:pt>
                <c:pt idx="2">
                  <c:v>José Miguel da Rocha</c:v>
                </c:pt>
                <c:pt idx="3">
                  <c:v>Davi Lucas Melo</c:v>
                </c:pt>
                <c:pt idx="4">
                  <c:v>Pedro Miguel Novaes</c:v>
                </c:pt>
                <c:pt idx="5">
                  <c:v>Sr. Lucas Gabriel Azevedo</c:v>
                </c:pt>
                <c:pt idx="6">
                  <c:v>Arthur Miguel Caldeira</c:v>
                </c:pt>
                <c:pt idx="7">
                  <c:v>Josué Rios</c:v>
                </c:pt>
                <c:pt idx="8">
                  <c:v>Caleb da Rocha</c:v>
                </c:pt>
                <c:pt idx="9">
                  <c:v>Zoe Rodrigues</c:v>
                </c:pt>
              </c:strCache>
            </c:strRef>
          </c:cat>
          <c:val>
            <c:numRef>
              <c:f>'Top Clientes (RFM)'!$G$6:$G$15</c:f>
              <c:numCache>
                <c:formatCode>"R$ "#,##0.00</c:formatCode>
                <c:ptCount val="10"/>
                <c:pt idx="0">
                  <c:v>144515.35</c:v>
                </c:pt>
                <c:pt idx="1">
                  <c:v>115218.85</c:v>
                </c:pt>
                <c:pt idx="2">
                  <c:v>101213.3</c:v>
                </c:pt>
                <c:pt idx="3">
                  <c:v>100481.75</c:v>
                </c:pt>
                <c:pt idx="4">
                  <c:v>96309.6</c:v>
                </c:pt>
                <c:pt idx="5">
                  <c:v>90145.25</c:v>
                </c:pt>
                <c:pt idx="6">
                  <c:v>83594.5</c:v>
                </c:pt>
                <c:pt idx="7">
                  <c:v>81444.85</c:v>
                </c:pt>
                <c:pt idx="8">
                  <c:v>78873</c:v>
                </c:pt>
                <c:pt idx="9">
                  <c:v>72888.35</c:v>
                </c:pt>
              </c:numCache>
            </c:numRef>
          </c:val>
        </c:ser>
        <c:gapWidth val="150"/>
        <c:overlap val="0"/>
        <c:axId val="91005470"/>
        <c:axId val="35294313"/>
      </c:barChart>
      <c:catAx>
        <c:axId val="91005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94313"/>
        <c:crosses val="autoZero"/>
        <c:auto val="1"/>
        <c:lblAlgn val="ctr"/>
        <c:lblOffset val="100"/>
        <c:noMultiLvlLbl val="0"/>
      </c:catAx>
      <c:valAx>
        <c:axId val="35294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054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7560</xdr:rowOff>
    </xdr:from>
    <xdr:to>
      <xdr:col>17</xdr:col>
      <xdr:colOff>272880</xdr:colOff>
      <xdr:row>29</xdr:row>
      <xdr:rowOff>8640</xdr:rowOff>
    </xdr:to>
    <xdr:graphicFrame>
      <xdr:nvGraphicFramePr>
        <xdr:cNvPr id="0" name="Chart 1"/>
        <xdr:cNvGraphicFramePr/>
      </xdr:nvGraphicFramePr>
      <xdr:xfrm>
        <a:off x="3453840" y="27050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101160</xdr:rowOff>
    </xdr:from>
    <xdr:to>
      <xdr:col>20</xdr:col>
      <xdr:colOff>187200</xdr:colOff>
      <xdr:row>26</xdr:row>
      <xdr:rowOff>39240</xdr:rowOff>
    </xdr:to>
    <xdr:graphicFrame>
      <xdr:nvGraphicFramePr>
        <xdr:cNvPr id="1" name="Chart 1"/>
        <xdr:cNvGraphicFramePr/>
      </xdr:nvGraphicFramePr>
      <xdr:xfrm>
        <a:off x="3808080" y="7621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101160</xdr:rowOff>
    </xdr:from>
    <xdr:to>
      <xdr:col>21</xdr:col>
      <xdr:colOff>187200</xdr:colOff>
      <xdr:row>26</xdr:row>
      <xdr:rowOff>39240</xdr:rowOff>
    </xdr:to>
    <xdr:graphicFrame>
      <xdr:nvGraphicFramePr>
        <xdr:cNvPr id="2" name="Chart 1"/>
        <xdr:cNvGraphicFramePr/>
      </xdr:nvGraphicFramePr>
      <xdr:xfrm>
        <a:off x="6438960" y="7621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101160</xdr:rowOff>
    </xdr:from>
    <xdr:to>
      <xdr:col>15</xdr:col>
      <xdr:colOff>364320</xdr:colOff>
      <xdr:row>26</xdr:row>
      <xdr:rowOff>39240</xdr:rowOff>
    </xdr:to>
    <xdr:graphicFrame>
      <xdr:nvGraphicFramePr>
        <xdr:cNvPr id="3" name="Chart 1"/>
        <xdr:cNvGraphicFramePr/>
      </xdr:nvGraphicFramePr>
      <xdr:xfrm>
        <a:off x="4019400" y="762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101160</xdr:rowOff>
    </xdr:from>
    <xdr:to>
      <xdr:col>23</xdr:col>
      <xdr:colOff>186840</xdr:colOff>
      <xdr:row>26</xdr:row>
      <xdr:rowOff>39240</xdr:rowOff>
    </xdr:to>
    <xdr:graphicFrame>
      <xdr:nvGraphicFramePr>
        <xdr:cNvPr id="4" name="Chart 1"/>
        <xdr:cNvGraphicFramePr/>
      </xdr:nvGraphicFramePr>
      <xdr:xfrm>
        <a:off x="7989480" y="7621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101160</xdr:rowOff>
    </xdr:from>
    <xdr:to>
      <xdr:col>19</xdr:col>
      <xdr:colOff>78480</xdr:colOff>
      <xdr:row>26</xdr:row>
      <xdr:rowOff>39240</xdr:rowOff>
    </xdr:to>
    <xdr:graphicFrame>
      <xdr:nvGraphicFramePr>
        <xdr:cNvPr id="5" name="Chart 1"/>
        <xdr:cNvGraphicFramePr/>
      </xdr:nvGraphicFramePr>
      <xdr:xfrm>
        <a:off x="3760560" y="7621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101160</xdr:rowOff>
    </xdr:from>
    <xdr:to>
      <xdr:col>14</xdr:col>
      <xdr:colOff>255960</xdr:colOff>
      <xdr:row>20</xdr:row>
      <xdr:rowOff>102240</xdr:rowOff>
    </xdr:to>
    <xdr:graphicFrame>
      <xdr:nvGraphicFramePr>
        <xdr:cNvPr id="6" name="Chart 1"/>
        <xdr:cNvGraphicFramePr/>
      </xdr:nvGraphicFramePr>
      <xdr:xfrm>
        <a:off x="4535640" y="762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101160</xdr:rowOff>
    </xdr:from>
    <xdr:to>
      <xdr:col>14</xdr:col>
      <xdr:colOff>255960</xdr:colOff>
      <xdr:row>27</xdr:row>
      <xdr:rowOff>102240</xdr:rowOff>
    </xdr:to>
    <xdr:graphicFrame>
      <xdr:nvGraphicFramePr>
        <xdr:cNvPr id="7" name="Chart 2"/>
        <xdr:cNvGraphicFramePr/>
      </xdr:nvGraphicFramePr>
      <xdr:xfrm>
        <a:off x="4535640" y="209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101160</xdr:rowOff>
    </xdr:from>
    <xdr:to>
      <xdr:col>22</xdr:col>
      <xdr:colOff>78480</xdr:colOff>
      <xdr:row>26</xdr:row>
      <xdr:rowOff>39240</xdr:rowOff>
    </xdr:to>
    <xdr:graphicFrame>
      <xdr:nvGraphicFramePr>
        <xdr:cNvPr id="8" name="Chart 1"/>
        <xdr:cNvGraphicFramePr/>
      </xdr:nvGraphicFramePr>
      <xdr:xfrm>
        <a:off x="9681120" y="7621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lientesRFM" displayName="TblClientesRFM" ref="B5:G25" headerRowCount="1" totalsRowCount="0" totalsRowShown="0">
  <autoFilter ref="B5:G25"/>
  <tableColumns count="6">
    <tableColumn id="1" name="nome_cliente"/>
    <tableColumn id="2" name="segmento"/>
    <tableColumn id="3" name="estado"/>
    <tableColumn id="4" name="dias_desde_ultima_compra"/>
    <tableColumn id="5" name="frequencia_pedidos"/>
    <tableColumn id="6" name="valor_total_gasto"/>
  </tableColumns>
</table>
</file>

<file path=xl/tables/table2.xml><?xml version="1.0" encoding="utf-8"?>
<table xmlns="http://schemas.openxmlformats.org/spreadsheetml/2006/main" id="2" name="TblFormaPagamento" displayName="TblFormaPagamento" ref="B13:D17" headerRowCount="1" totalsRowCount="0" totalsRowShown="0">
  <autoFilter ref="B13:D17"/>
  <tableColumns count="3">
    <tableColumn id="1" name="forma_pagamento"/>
    <tableColumn id="2" name="qtd_pedidos"/>
    <tableColumn id="3" name="percentual"/>
  </tableColumns>
</table>
</file>

<file path=xl/tables/table3.xml><?xml version="1.0" encoding="utf-8"?>
<table xmlns="http://schemas.openxmlformats.org/spreadsheetml/2006/main" id="3" name="TblGiroEstoque" displayName="TblGiroEstoque" ref="B5:F45" headerRowCount="1" totalsRowCount="0" totalsRowShown="0">
  <autoFilter ref="B5:F45"/>
  <tableColumns count="5">
    <tableColumn id="1" name="nome_produto"/>
    <tableColumn id="2" name="nome_categoria"/>
    <tableColumn id="3" name="estoque_atual"/>
    <tableColumn id="4" name="margem_pct"/>
    <tableColumn id="5" name="unidades_vendidas"/>
  </tableColumns>
</table>
</file>

<file path=xl/tables/table4.xml><?xml version="1.0" encoding="utf-8"?>
<table xmlns="http://schemas.openxmlformats.org/spreadsheetml/2006/main" id="4" name="TblReceitaCategoria" displayName="TblReceitaCategoria" ref="B5:C13" headerRowCount="1" totalsRowCount="0" totalsRowShown="0">
  <autoFilter ref="B5:C13"/>
  <tableColumns count="2">
    <tableColumn id="1" name="nome_categoria"/>
    <tableColumn id="2" name="receita"/>
  </tableColumns>
</table>
</file>

<file path=xl/tables/table5.xml><?xml version="1.0" encoding="utf-8"?>
<table xmlns="http://schemas.openxmlformats.org/spreadsheetml/2006/main" id="5" name="TblReceitaEstado" displayName="TblReceitaEstado" ref="B5:D15" headerRowCount="1" totalsRowCount="0" totalsRowShown="0">
  <autoFilter ref="B5:D15"/>
  <tableColumns count="3">
    <tableColumn id="1" name="estado"/>
    <tableColumn id="2" name="qtd_pedidos"/>
    <tableColumn id="3" name="receita"/>
  </tableColumns>
</table>
</file>

<file path=xl/tables/table6.xml><?xml version="1.0" encoding="utf-8"?>
<table xmlns="http://schemas.openxmlformats.org/spreadsheetml/2006/main" id="6" name="TblReceitaMensal" displayName="TblReceitaMensal" ref="B5:C42" headerRowCount="1" totalsRowCount="0" totalsRowShown="0">
  <autoFilter ref="B5:C42"/>
  <tableColumns count="2">
    <tableColumn id="1" name="mes"/>
    <tableColumn id="2" name="receita_liquida"/>
  </tableColumns>
</table>
</file>

<file path=xl/tables/table7.xml><?xml version="1.0" encoding="utf-8"?>
<table xmlns="http://schemas.openxmlformats.org/spreadsheetml/2006/main" id="7" name="TblResumoReceitaMensal" displayName="TblResumoReceitaMensal" ref="B13:C50" headerRowCount="1" totalsRowCount="0" totalsRowShown="0">
  <autoFilter ref="B13:C50"/>
  <tableColumns count="2">
    <tableColumn id="1" name="mes"/>
    <tableColumn id="2" name="receita_liquida"/>
  </tableColumns>
</table>
</file>

<file path=xl/tables/table8.xml><?xml version="1.0" encoding="utf-8"?>
<table xmlns="http://schemas.openxmlformats.org/spreadsheetml/2006/main" id="8" name="TblStatusPedidos" displayName="TblStatusPedidos" ref="B5:D9" headerRowCount="1" totalsRowCount="0" totalsRowShown="0">
  <autoFilter ref="B5:D9"/>
  <tableColumns count="3">
    <tableColumn id="1" name="status_pedido"/>
    <tableColumn id="2" name="qtd_pedidos"/>
    <tableColumn id="3" name="percentual"/>
  </tableColumns>
</table>
</file>

<file path=xl/tables/table9.xml><?xml version="1.0" encoding="utf-8"?>
<table xmlns="http://schemas.openxmlformats.org/spreadsheetml/2006/main" id="9" name="TblTopProdutos" displayName="TblTopProdutos" ref="B5:E15" headerRowCount="1" totalsRowCount="0" totalsRowShown="0">
  <autoFilter ref="B5:E15"/>
  <tableColumns count="4">
    <tableColumn id="1" name="nome_produto"/>
    <tableColumn id="2" name="nome_categoria"/>
    <tableColumn id="3" name="unidades_vendidas"/>
    <tableColumn id="4" name="receita"/>
  </tableColumns>
</table>
</file>

<file path=xl/tables/table10.xml><?xml version="1.0" encoding="utf-8"?>
<table xmlns="http://schemas.openxmlformats.org/spreadsheetml/2006/main" id="10" name="TblVendedores" displayName="TblVendedores" ref="B5:G13" headerRowCount="1" totalsRowCount="0" totalsRowShown="0">
  <autoFilter ref="B5:G13"/>
  <tableColumns count="6">
    <tableColumn id="1" name="nome_vendedor"/>
    <tableColumn id="2" name="regiao"/>
    <tableColumn id="3" name="qtd_pedidos"/>
    <tableColumn id="4" name="receita_total"/>
    <tableColumn id="5" name="ticket_medio"/>
    <tableColumn id="6" name="meta_mens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.xml"/><Relationship Id="rId3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6" min="5" style="0" width="15"/>
    <col collapsed="false" customWidth="true" hidden="false" outlineLevel="0" max="7" min="7" style="0" width="3"/>
    <col collapsed="false" customWidth="true" hidden="false" outlineLevel="0" max="9" min="8" style="0" width="15"/>
    <col collapsed="false" customWidth="true" hidden="false" outlineLevel="0" max="10" min="10" style="0" width="3"/>
    <col collapsed="false" customWidth="true" hidden="false" outlineLevel="0" max="12" min="11" style="0" width="15"/>
    <col collapsed="false" customWidth="true" hidden="false" outlineLevel="0" max="13" min="13" style="0" width="3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6" customFormat="false" ht="18" hidden="false" customHeight="true" outlineLevel="0" collapsed="false">
      <c r="B6" s="3" t="s">
        <v>2</v>
      </c>
      <c r="C6" s="3"/>
      <c r="E6" s="3" t="s">
        <v>3</v>
      </c>
      <c r="F6" s="3"/>
      <c r="H6" s="3" t="s">
        <v>4</v>
      </c>
      <c r="I6" s="3"/>
      <c r="K6" s="3" t="s">
        <v>5</v>
      </c>
      <c r="L6" s="3"/>
    </row>
    <row r="7" customFormat="false" ht="30" hidden="false" customHeight="true" outlineLevel="0" collapsed="false">
      <c r="B7" s="4" t="s">
        <v>6</v>
      </c>
      <c r="C7" s="4"/>
      <c r="E7" s="4" t="s">
        <v>7</v>
      </c>
      <c r="F7" s="4"/>
      <c r="H7" s="4" t="s">
        <v>8</v>
      </c>
      <c r="I7" s="4"/>
      <c r="K7" s="4" t="s">
        <v>9</v>
      </c>
      <c r="L7" s="4"/>
    </row>
    <row r="9" customFormat="false" ht="22.35" hidden="false" customHeight="true" outlineLevel="0" collapsed="false">
      <c r="B9" s="5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2" customFormat="false" ht="15" hidden="false" customHeight="false" outlineLevel="0" collapsed="false">
      <c r="B12" s="6" t="s">
        <v>11</v>
      </c>
    </row>
    <row r="13" customFormat="false" ht="15" hidden="false" customHeight="false" outlineLevel="0" collapsed="false">
      <c r="A13" s="7"/>
      <c r="B13" s="7" t="s">
        <v>12</v>
      </c>
      <c r="C13" s="8" t="s">
        <v>13</v>
      </c>
    </row>
    <row r="14" customFormat="false" ht="15" hidden="false" customHeight="false" outlineLevel="0" collapsed="false">
      <c r="B14" s="9" t="s">
        <v>14</v>
      </c>
      <c r="C14" s="10" t="n">
        <v>127961.25</v>
      </c>
    </row>
    <row r="15" customFormat="false" ht="15" hidden="false" customHeight="false" outlineLevel="0" collapsed="false">
      <c r="B15" s="11" t="s">
        <v>15</v>
      </c>
      <c r="C15" s="12" t="n">
        <v>119681.95</v>
      </c>
    </row>
    <row r="16" customFormat="false" ht="15" hidden="false" customHeight="false" outlineLevel="0" collapsed="false">
      <c r="B16" s="9" t="s">
        <v>16</v>
      </c>
      <c r="C16" s="10" t="n">
        <v>195618.9</v>
      </c>
    </row>
    <row r="17" customFormat="false" ht="15" hidden="false" customHeight="false" outlineLevel="0" collapsed="false">
      <c r="B17" s="11" t="s">
        <v>17</v>
      </c>
      <c r="C17" s="12" t="n">
        <v>399303.4</v>
      </c>
    </row>
    <row r="18" customFormat="false" ht="15" hidden="false" customHeight="false" outlineLevel="0" collapsed="false">
      <c r="B18" s="9" t="s">
        <v>18</v>
      </c>
      <c r="C18" s="10" t="n">
        <v>122148.45</v>
      </c>
    </row>
    <row r="19" customFormat="false" ht="15" hidden="false" customHeight="false" outlineLevel="0" collapsed="false">
      <c r="B19" s="11" t="s">
        <v>19</v>
      </c>
      <c r="C19" s="12" t="n">
        <v>165576.85</v>
      </c>
    </row>
    <row r="20" customFormat="false" ht="15" hidden="false" customHeight="false" outlineLevel="0" collapsed="false">
      <c r="B20" s="9" t="s">
        <v>20</v>
      </c>
      <c r="C20" s="10" t="n">
        <v>167668.2</v>
      </c>
    </row>
    <row r="21" customFormat="false" ht="15" hidden="false" customHeight="false" outlineLevel="0" collapsed="false">
      <c r="B21" s="11" t="s">
        <v>21</v>
      </c>
      <c r="C21" s="12" t="n">
        <v>186603.05</v>
      </c>
    </row>
    <row r="22" customFormat="false" ht="15" hidden="false" customHeight="false" outlineLevel="0" collapsed="false">
      <c r="B22" s="9" t="s">
        <v>22</v>
      </c>
      <c r="C22" s="10" t="n">
        <v>167665.05</v>
      </c>
    </row>
    <row r="23" customFormat="false" ht="15" hidden="false" customHeight="false" outlineLevel="0" collapsed="false">
      <c r="B23" s="11" t="s">
        <v>23</v>
      </c>
      <c r="C23" s="12" t="n">
        <v>134388.4</v>
      </c>
    </row>
    <row r="24" customFormat="false" ht="15" hidden="false" customHeight="false" outlineLevel="0" collapsed="false">
      <c r="B24" s="9" t="s">
        <v>24</v>
      </c>
      <c r="C24" s="10" t="n">
        <v>39697.45</v>
      </c>
    </row>
    <row r="25" customFormat="false" ht="15" hidden="false" customHeight="false" outlineLevel="0" collapsed="false">
      <c r="B25" s="11" t="s">
        <v>25</v>
      </c>
      <c r="C25" s="12" t="n">
        <v>151432.3</v>
      </c>
    </row>
    <row r="26" customFormat="false" ht="15" hidden="false" customHeight="false" outlineLevel="0" collapsed="false">
      <c r="B26" s="9" t="s">
        <v>26</v>
      </c>
      <c r="C26" s="10" t="n">
        <v>89247.25</v>
      </c>
    </row>
    <row r="27" customFormat="false" ht="15" hidden="false" customHeight="false" outlineLevel="0" collapsed="false">
      <c r="B27" s="11" t="s">
        <v>27</v>
      </c>
      <c r="C27" s="12" t="n">
        <v>86224.1</v>
      </c>
    </row>
    <row r="28" customFormat="false" ht="15" hidden="false" customHeight="false" outlineLevel="0" collapsed="false">
      <c r="B28" s="9" t="s">
        <v>28</v>
      </c>
      <c r="C28" s="10" t="n">
        <v>119477.15</v>
      </c>
    </row>
    <row r="29" customFormat="false" ht="15" hidden="false" customHeight="false" outlineLevel="0" collapsed="false">
      <c r="B29" s="11" t="s">
        <v>29</v>
      </c>
      <c r="C29" s="12" t="n">
        <v>237425.1</v>
      </c>
    </row>
    <row r="30" customFormat="false" ht="15" hidden="false" customHeight="false" outlineLevel="0" collapsed="false">
      <c r="B30" s="9" t="s">
        <v>30</v>
      </c>
      <c r="C30" s="10" t="n">
        <v>103514.65</v>
      </c>
    </row>
    <row r="31" customFormat="false" ht="15" hidden="false" customHeight="false" outlineLevel="0" collapsed="false">
      <c r="B31" s="11" t="s">
        <v>31</v>
      </c>
      <c r="C31" s="12" t="n">
        <v>121600.6</v>
      </c>
    </row>
    <row r="32" customFormat="false" ht="15" hidden="false" customHeight="false" outlineLevel="0" collapsed="false">
      <c r="B32" s="9" t="s">
        <v>32</v>
      </c>
      <c r="C32" s="10" t="n">
        <v>99879.7</v>
      </c>
    </row>
    <row r="33" customFormat="false" ht="15" hidden="false" customHeight="false" outlineLevel="0" collapsed="false">
      <c r="B33" s="11" t="s">
        <v>33</v>
      </c>
      <c r="C33" s="12" t="n">
        <v>91282.95</v>
      </c>
    </row>
    <row r="34" customFormat="false" ht="15" hidden="false" customHeight="false" outlineLevel="0" collapsed="false">
      <c r="B34" s="9" t="s">
        <v>34</v>
      </c>
      <c r="C34" s="10" t="n">
        <v>63731.4</v>
      </c>
    </row>
    <row r="35" customFormat="false" ht="15" hidden="false" customHeight="false" outlineLevel="0" collapsed="false">
      <c r="B35" s="11" t="s">
        <v>35</v>
      </c>
      <c r="C35" s="12" t="n">
        <v>133172.95</v>
      </c>
    </row>
    <row r="36" customFormat="false" ht="15" hidden="false" customHeight="false" outlineLevel="0" collapsed="false">
      <c r="B36" s="9" t="s">
        <v>36</v>
      </c>
      <c r="C36" s="10" t="n">
        <v>85904.05</v>
      </c>
    </row>
    <row r="37" customFormat="false" ht="15" hidden="false" customHeight="false" outlineLevel="0" collapsed="false">
      <c r="B37" s="11" t="s">
        <v>37</v>
      </c>
      <c r="C37" s="12" t="n">
        <v>148967.8</v>
      </c>
    </row>
    <row r="38" customFormat="false" ht="15" hidden="false" customHeight="false" outlineLevel="0" collapsed="false">
      <c r="B38" s="9" t="s">
        <v>38</v>
      </c>
      <c r="C38" s="10" t="n">
        <v>136185</v>
      </c>
    </row>
    <row r="39" customFormat="false" ht="15" hidden="false" customHeight="false" outlineLevel="0" collapsed="false">
      <c r="B39" s="11" t="s">
        <v>39</v>
      </c>
      <c r="C39" s="12" t="n">
        <v>165066.5</v>
      </c>
    </row>
    <row r="40" customFormat="false" ht="15" hidden="false" customHeight="false" outlineLevel="0" collapsed="false">
      <c r="B40" s="9" t="s">
        <v>40</v>
      </c>
      <c r="C40" s="10" t="n">
        <v>270989.95</v>
      </c>
    </row>
    <row r="41" customFormat="false" ht="15" hidden="false" customHeight="false" outlineLevel="0" collapsed="false">
      <c r="B41" s="11" t="s">
        <v>41</v>
      </c>
      <c r="C41" s="12" t="n">
        <v>390605.5</v>
      </c>
    </row>
    <row r="42" customFormat="false" ht="15" hidden="false" customHeight="false" outlineLevel="0" collapsed="false">
      <c r="B42" s="9" t="s">
        <v>42</v>
      </c>
      <c r="C42" s="10" t="n">
        <v>96457.15</v>
      </c>
    </row>
    <row r="43" customFormat="false" ht="15" hidden="false" customHeight="false" outlineLevel="0" collapsed="false">
      <c r="B43" s="11" t="s">
        <v>43</v>
      </c>
      <c r="C43" s="12" t="n">
        <v>149152.8</v>
      </c>
    </row>
    <row r="44" customFormat="false" ht="15" hidden="false" customHeight="false" outlineLevel="0" collapsed="false">
      <c r="B44" s="9" t="s">
        <v>44</v>
      </c>
      <c r="C44" s="10" t="n">
        <v>152778.55</v>
      </c>
    </row>
    <row r="45" customFormat="false" ht="15" hidden="false" customHeight="false" outlineLevel="0" collapsed="false">
      <c r="B45" s="11" t="s">
        <v>45</v>
      </c>
      <c r="C45" s="12" t="n">
        <v>150272.55</v>
      </c>
    </row>
    <row r="46" customFormat="false" ht="15" hidden="false" customHeight="false" outlineLevel="0" collapsed="false">
      <c r="B46" s="9" t="s">
        <v>46</v>
      </c>
      <c r="C46" s="10" t="n">
        <v>104358.15</v>
      </c>
    </row>
    <row r="47" customFormat="false" ht="15" hidden="false" customHeight="false" outlineLevel="0" collapsed="false">
      <c r="B47" s="11" t="s">
        <v>47</v>
      </c>
      <c r="C47" s="12" t="n">
        <v>102374.5</v>
      </c>
    </row>
    <row r="48" customFormat="false" ht="15" hidden="false" customHeight="false" outlineLevel="0" collapsed="false">
      <c r="B48" s="9" t="s">
        <v>48</v>
      </c>
      <c r="C48" s="10" t="n">
        <v>83281.4</v>
      </c>
    </row>
    <row r="49" customFormat="false" ht="15" hidden="false" customHeight="false" outlineLevel="0" collapsed="false">
      <c r="B49" s="11" t="s">
        <v>49</v>
      </c>
      <c r="C49" s="12" t="n">
        <v>93878.5</v>
      </c>
    </row>
    <row r="50" customFormat="false" ht="15" hidden="false" customHeight="false" outlineLevel="0" collapsed="false">
      <c r="B50" s="9" t="s">
        <v>50</v>
      </c>
      <c r="C50" s="10" t="n">
        <v>30432.7</v>
      </c>
    </row>
  </sheetData>
  <mergeCells count="11">
    <mergeCell ref="B2:M2"/>
    <mergeCell ref="B3:M3"/>
    <mergeCell ref="B6:C6"/>
    <mergeCell ref="E6:F6"/>
    <mergeCell ref="H6:I6"/>
    <mergeCell ref="K6:L6"/>
    <mergeCell ref="B7:C7"/>
    <mergeCell ref="E7:F7"/>
    <mergeCell ref="H7:I7"/>
    <mergeCell ref="K7:L7"/>
    <mergeCell ref="B9:M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</cols>
  <sheetData>
    <row r="2" customFormat="false" ht="22.05" hidden="false" customHeight="false" outlineLevel="0" collapsed="false">
      <c r="B2" s="13" t="s">
        <v>51</v>
      </c>
    </row>
    <row r="3" customFormat="false" ht="15" hidden="false" customHeight="false" outlineLevel="0" collapsed="false">
      <c r="B3" s="14" t="s">
        <v>52</v>
      </c>
    </row>
    <row r="5" customFormat="false" ht="15" hidden="false" customHeight="false" outlineLevel="0" collapsed="false">
      <c r="A5" s="7"/>
      <c r="B5" s="7" t="s">
        <v>12</v>
      </c>
      <c r="C5" s="8" t="s">
        <v>13</v>
      </c>
    </row>
    <row r="6" customFormat="false" ht="15" hidden="false" customHeight="false" outlineLevel="0" collapsed="false">
      <c r="B6" s="9" t="s">
        <v>14</v>
      </c>
      <c r="C6" s="10" t="n">
        <v>127961.25</v>
      </c>
    </row>
    <row r="7" customFormat="false" ht="15" hidden="false" customHeight="false" outlineLevel="0" collapsed="false">
      <c r="B7" s="11" t="s">
        <v>15</v>
      </c>
      <c r="C7" s="12" t="n">
        <v>119681.95</v>
      </c>
    </row>
    <row r="8" customFormat="false" ht="15" hidden="false" customHeight="false" outlineLevel="0" collapsed="false">
      <c r="B8" s="9" t="s">
        <v>16</v>
      </c>
      <c r="C8" s="10" t="n">
        <v>195618.9</v>
      </c>
    </row>
    <row r="9" customFormat="false" ht="15" hidden="false" customHeight="false" outlineLevel="0" collapsed="false">
      <c r="B9" s="11" t="s">
        <v>17</v>
      </c>
      <c r="C9" s="12" t="n">
        <v>399303.4</v>
      </c>
    </row>
    <row r="10" customFormat="false" ht="15" hidden="false" customHeight="false" outlineLevel="0" collapsed="false">
      <c r="B10" s="9" t="s">
        <v>18</v>
      </c>
      <c r="C10" s="10" t="n">
        <v>122148.45</v>
      </c>
    </row>
    <row r="11" customFormat="false" ht="15" hidden="false" customHeight="false" outlineLevel="0" collapsed="false">
      <c r="B11" s="11" t="s">
        <v>19</v>
      </c>
      <c r="C11" s="12" t="n">
        <v>165576.85</v>
      </c>
    </row>
    <row r="12" customFormat="false" ht="15" hidden="false" customHeight="false" outlineLevel="0" collapsed="false">
      <c r="B12" s="9" t="s">
        <v>20</v>
      </c>
      <c r="C12" s="10" t="n">
        <v>167668.2</v>
      </c>
    </row>
    <row r="13" customFormat="false" ht="15" hidden="false" customHeight="false" outlineLevel="0" collapsed="false">
      <c r="B13" s="11" t="s">
        <v>21</v>
      </c>
      <c r="C13" s="12" t="n">
        <v>186603.05</v>
      </c>
    </row>
    <row r="14" customFormat="false" ht="15" hidden="false" customHeight="false" outlineLevel="0" collapsed="false">
      <c r="B14" s="9" t="s">
        <v>22</v>
      </c>
      <c r="C14" s="10" t="n">
        <v>167665.05</v>
      </c>
    </row>
    <row r="15" customFormat="false" ht="15" hidden="false" customHeight="false" outlineLevel="0" collapsed="false">
      <c r="B15" s="11" t="s">
        <v>23</v>
      </c>
      <c r="C15" s="12" t="n">
        <v>134388.4</v>
      </c>
    </row>
    <row r="16" customFormat="false" ht="15" hidden="false" customHeight="false" outlineLevel="0" collapsed="false">
      <c r="B16" s="9" t="s">
        <v>24</v>
      </c>
      <c r="C16" s="10" t="n">
        <v>39697.45</v>
      </c>
    </row>
    <row r="17" customFormat="false" ht="15" hidden="false" customHeight="false" outlineLevel="0" collapsed="false">
      <c r="B17" s="11" t="s">
        <v>25</v>
      </c>
      <c r="C17" s="12" t="n">
        <v>151432.3</v>
      </c>
    </row>
    <row r="18" customFormat="false" ht="15" hidden="false" customHeight="false" outlineLevel="0" collapsed="false">
      <c r="B18" s="9" t="s">
        <v>26</v>
      </c>
      <c r="C18" s="10" t="n">
        <v>89247.25</v>
      </c>
    </row>
    <row r="19" customFormat="false" ht="15" hidden="false" customHeight="false" outlineLevel="0" collapsed="false">
      <c r="B19" s="11" t="s">
        <v>27</v>
      </c>
      <c r="C19" s="12" t="n">
        <v>86224.1</v>
      </c>
    </row>
    <row r="20" customFormat="false" ht="15" hidden="false" customHeight="false" outlineLevel="0" collapsed="false">
      <c r="B20" s="9" t="s">
        <v>28</v>
      </c>
      <c r="C20" s="10" t="n">
        <v>119477.15</v>
      </c>
    </row>
    <row r="21" customFormat="false" ht="15" hidden="false" customHeight="false" outlineLevel="0" collapsed="false">
      <c r="B21" s="11" t="s">
        <v>29</v>
      </c>
      <c r="C21" s="12" t="n">
        <v>237425.1</v>
      </c>
    </row>
    <row r="22" customFormat="false" ht="15" hidden="false" customHeight="false" outlineLevel="0" collapsed="false">
      <c r="B22" s="9" t="s">
        <v>30</v>
      </c>
      <c r="C22" s="10" t="n">
        <v>103514.65</v>
      </c>
    </row>
    <row r="23" customFormat="false" ht="15" hidden="false" customHeight="false" outlineLevel="0" collapsed="false">
      <c r="B23" s="11" t="s">
        <v>31</v>
      </c>
      <c r="C23" s="12" t="n">
        <v>121600.6</v>
      </c>
    </row>
    <row r="24" customFormat="false" ht="15" hidden="false" customHeight="false" outlineLevel="0" collapsed="false">
      <c r="B24" s="9" t="s">
        <v>32</v>
      </c>
      <c r="C24" s="10" t="n">
        <v>99879.7</v>
      </c>
    </row>
    <row r="25" customFormat="false" ht="15" hidden="false" customHeight="false" outlineLevel="0" collapsed="false">
      <c r="B25" s="11" t="s">
        <v>33</v>
      </c>
      <c r="C25" s="12" t="n">
        <v>91282.95</v>
      </c>
    </row>
    <row r="26" customFormat="false" ht="15" hidden="false" customHeight="false" outlineLevel="0" collapsed="false">
      <c r="B26" s="9" t="s">
        <v>34</v>
      </c>
      <c r="C26" s="10" t="n">
        <v>63731.4</v>
      </c>
    </row>
    <row r="27" customFormat="false" ht="15" hidden="false" customHeight="false" outlineLevel="0" collapsed="false">
      <c r="B27" s="11" t="s">
        <v>35</v>
      </c>
      <c r="C27" s="12" t="n">
        <v>133172.95</v>
      </c>
    </row>
    <row r="28" customFormat="false" ht="15" hidden="false" customHeight="false" outlineLevel="0" collapsed="false">
      <c r="B28" s="9" t="s">
        <v>36</v>
      </c>
      <c r="C28" s="10" t="n">
        <v>85904.05</v>
      </c>
    </row>
    <row r="29" customFormat="false" ht="15" hidden="false" customHeight="false" outlineLevel="0" collapsed="false">
      <c r="B29" s="11" t="s">
        <v>37</v>
      </c>
      <c r="C29" s="12" t="n">
        <v>148967.8</v>
      </c>
    </row>
    <row r="30" customFormat="false" ht="15" hidden="false" customHeight="false" outlineLevel="0" collapsed="false">
      <c r="B30" s="9" t="s">
        <v>38</v>
      </c>
      <c r="C30" s="10" t="n">
        <v>136185</v>
      </c>
    </row>
    <row r="31" customFormat="false" ht="15" hidden="false" customHeight="false" outlineLevel="0" collapsed="false">
      <c r="B31" s="11" t="s">
        <v>39</v>
      </c>
      <c r="C31" s="12" t="n">
        <v>165066.5</v>
      </c>
    </row>
    <row r="32" customFormat="false" ht="15" hidden="false" customHeight="false" outlineLevel="0" collapsed="false">
      <c r="B32" s="9" t="s">
        <v>40</v>
      </c>
      <c r="C32" s="10" t="n">
        <v>270989.95</v>
      </c>
    </row>
    <row r="33" customFormat="false" ht="15" hidden="false" customHeight="false" outlineLevel="0" collapsed="false">
      <c r="B33" s="11" t="s">
        <v>41</v>
      </c>
      <c r="C33" s="12" t="n">
        <v>390605.5</v>
      </c>
    </row>
    <row r="34" customFormat="false" ht="15" hidden="false" customHeight="false" outlineLevel="0" collapsed="false">
      <c r="B34" s="9" t="s">
        <v>42</v>
      </c>
      <c r="C34" s="10" t="n">
        <v>96457.15</v>
      </c>
    </row>
    <row r="35" customFormat="false" ht="15" hidden="false" customHeight="false" outlineLevel="0" collapsed="false">
      <c r="B35" s="11" t="s">
        <v>43</v>
      </c>
      <c r="C35" s="12" t="n">
        <v>149152.8</v>
      </c>
    </row>
    <row r="36" customFormat="false" ht="15" hidden="false" customHeight="false" outlineLevel="0" collapsed="false">
      <c r="B36" s="9" t="s">
        <v>44</v>
      </c>
      <c r="C36" s="10" t="n">
        <v>152778.55</v>
      </c>
    </row>
    <row r="37" customFormat="false" ht="15" hidden="false" customHeight="false" outlineLevel="0" collapsed="false">
      <c r="B37" s="11" t="s">
        <v>45</v>
      </c>
      <c r="C37" s="12" t="n">
        <v>150272.55</v>
      </c>
    </row>
    <row r="38" customFormat="false" ht="15" hidden="false" customHeight="false" outlineLevel="0" collapsed="false">
      <c r="B38" s="9" t="s">
        <v>46</v>
      </c>
      <c r="C38" s="10" t="n">
        <v>104358.15</v>
      </c>
    </row>
    <row r="39" customFormat="false" ht="15" hidden="false" customHeight="false" outlineLevel="0" collapsed="false">
      <c r="B39" s="11" t="s">
        <v>47</v>
      </c>
      <c r="C39" s="12" t="n">
        <v>102374.5</v>
      </c>
    </row>
    <row r="40" customFormat="false" ht="15" hidden="false" customHeight="false" outlineLevel="0" collapsed="false">
      <c r="B40" s="9" t="s">
        <v>48</v>
      </c>
      <c r="C40" s="10" t="n">
        <v>83281.4</v>
      </c>
    </row>
    <row r="41" customFormat="false" ht="15" hidden="false" customHeight="false" outlineLevel="0" collapsed="false">
      <c r="B41" s="11" t="s">
        <v>49</v>
      </c>
      <c r="C41" s="12" t="n">
        <v>93878.5</v>
      </c>
    </row>
    <row r="42" customFormat="false" ht="15" hidden="false" customHeight="false" outlineLevel="0" collapsed="false">
      <c r="B42" s="9" t="s">
        <v>50</v>
      </c>
      <c r="C42" s="10" t="n">
        <v>30432.7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2"/>
  </cols>
  <sheetData>
    <row r="2" customFormat="false" ht="22.05" hidden="false" customHeight="false" outlineLevel="0" collapsed="false">
      <c r="B2" s="13" t="s">
        <v>53</v>
      </c>
    </row>
    <row r="3" customFormat="false" ht="15" hidden="false" customHeight="false" outlineLevel="0" collapsed="false">
      <c r="B3" s="14" t="s">
        <v>54</v>
      </c>
    </row>
    <row r="5" customFormat="false" ht="15" hidden="false" customHeight="false" outlineLevel="0" collapsed="false">
      <c r="A5" s="7"/>
      <c r="B5" s="7" t="s">
        <v>55</v>
      </c>
      <c r="C5" s="7" t="s">
        <v>56</v>
      </c>
      <c r="D5" s="7" t="s">
        <v>57</v>
      </c>
      <c r="E5" s="8" t="s">
        <v>58</v>
      </c>
    </row>
    <row r="6" customFormat="false" ht="15" hidden="false" customHeight="false" outlineLevel="0" collapsed="false">
      <c r="B6" s="9" t="s">
        <v>59</v>
      </c>
      <c r="C6" s="9" t="s">
        <v>60</v>
      </c>
      <c r="D6" s="9" t="n">
        <v>83</v>
      </c>
      <c r="E6" s="10" t="n">
        <v>785421.45</v>
      </c>
    </row>
    <row r="7" customFormat="false" ht="15" hidden="false" customHeight="false" outlineLevel="0" collapsed="false">
      <c r="B7" s="11" t="s">
        <v>61</v>
      </c>
      <c r="C7" s="11" t="s">
        <v>62</v>
      </c>
      <c r="D7" s="11" t="n">
        <v>90</v>
      </c>
      <c r="E7" s="12" t="n">
        <v>412953.95</v>
      </c>
    </row>
    <row r="8" customFormat="false" ht="15" hidden="false" customHeight="false" outlineLevel="0" collapsed="false">
      <c r="B8" s="9" t="s">
        <v>63</v>
      </c>
      <c r="C8" s="9" t="s">
        <v>62</v>
      </c>
      <c r="D8" s="9" t="n">
        <v>59</v>
      </c>
      <c r="E8" s="10" t="n">
        <v>336243.95</v>
      </c>
    </row>
    <row r="9" customFormat="false" ht="15" hidden="false" customHeight="false" outlineLevel="0" collapsed="false">
      <c r="B9" s="11" t="s">
        <v>64</v>
      </c>
      <c r="C9" s="11" t="s">
        <v>62</v>
      </c>
      <c r="D9" s="11" t="n">
        <v>84</v>
      </c>
      <c r="E9" s="12" t="n">
        <v>315921</v>
      </c>
    </row>
    <row r="10" customFormat="false" ht="15" hidden="false" customHeight="false" outlineLevel="0" collapsed="false">
      <c r="B10" s="9" t="s">
        <v>65</v>
      </c>
      <c r="C10" s="9" t="s">
        <v>60</v>
      </c>
      <c r="D10" s="9" t="n">
        <v>82</v>
      </c>
      <c r="E10" s="10" t="n">
        <v>297841.6</v>
      </c>
    </row>
    <row r="11" customFormat="false" ht="15" hidden="false" customHeight="false" outlineLevel="0" collapsed="false">
      <c r="B11" s="11" t="s">
        <v>66</v>
      </c>
      <c r="C11" s="11" t="s">
        <v>67</v>
      </c>
      <c r="D11" s="11" t="n">
        <v>67</v>
      </c>
      <c r="E11" s="12" t="n">
        <v>240666.65</v>
      </c>
    </row>
    <row r="12" customFormat="false" ht="15" hidden="false" customHeight="false" outlineLevel="0" collapsed="false">
      <c r="B12" s="9" t="s">
        <v>68</v>
      </c>
      <c r="C12" s="9" t="s">
        <v>69</v>
      </c>
      <c r="D12" s="9" t="n">
        <v>79</v>
      </c>
      <c r="E12" s="10" t="n">
        <v>236726</v>
      </c>
    </row>
    <row r="13" customFormat="false" ht="15" hidden="false" customHeight="false" outlineLevel="0" collapsed="false">
      <c r="B13" s="11" t="s">
        <v>70</v>
      </c>
      <c r="C13" s="11" t="s">
        <v>62</v>
      </c>
      <c r="D13" s="11" t="n">
        <v>74</v>
      </c>
      <c r="E13" s="12" t="n">
        <v>233074.35</v>
      </c>
    </row>
    <row r="14" customFormat="false" ht="15" hidden="false" customHeight="false" outlineLevel="0" collapsed="false">
      <c r="B14" s="9" t="s">
        <v>71</v>
      </c>
      <c r="C14" s="9" t="s">
        <v>67</v>
      </c>
      <c r="D14" s="9" t="n">
        <v>58</v>
      </c>
      <c r="E14" s="10" t="n">
        <v>223744.05</v>
      </c>
    </row>
    <row r="15" customFormat="false" ht="15" hidden="false" customHeight="false" outlineLevel="0" collapsed="false">
      <c r="B15" s="11" t="s">
        <v>72</v>
      </c>
      <c r="C15" s="11" t="s">
        <v>69</v>
      </c>
      <c r="D15" s="11" t="n">
        <v>80</v>
      </c>
      <c r="E15" s="12" t="n">
        <v>199603.2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12"/>
  </cols>
  <sheetData>
    <row r="2" customFormat="false" ht="22.05" hidden="false" customHeight="false" outlineLevel="0" collapsed="false">
      <c r="B2" s="13" t="s">
        <v>73</v>
      </c>
    </row>
    <row r="3" customFormat="false" ht="15" hidden="false" customHeight="false" outlineLevel="0" collapsed="false">
      <c r="B3" s="14" t="s">
        <v>74</v>
      </c>
    </row>
    <row r="5" customFormat="false" ht="15" hidden="false" customHeight="false" outlineLevel="0" collapsed="false">
      <c r="A5" s="7"/>
      <c r="B5" s="7" t="s">
        <v>56</v>
      </c>
      <c r="C5" s="8" t="s">
        <v>58</v>
      </c>
    </row>
    <row r="6" customFormat="false" ht="15" hidden="false" customHeight="false" outlineLevel="0" collapsed="false">
      <c r="B6" s="9" t="s">
        <v>60</v>
      </c>
      <c r="C6" s="10" t="n">
        <v>1645486.6</v>
      </c>
    </row>
    <row r="7" customFormat="false" ht="15" hidden="false" customHeight="false" outlineLevel="0" collapsed="false">
      <c r="B7" s="11" t="s">
        <v>62</v>
      </c>
      <c r="C7" s="12" t="n">
        <v>1406748</v>
      </c>
    </row>
    <row r="8" customFormat="false" ht="15" hidden="false" customHeight="false" outlineLevel="0" collapsed="false">
      <c r="B8" s="9" t="s">
        <v>69</v>
      </c>
      <c r="C8" s="10" t="n">
        <v>677774.1</v>
      </c>
    </row>
    <row r="9" customFormat="false" ht="15" hidden="false" customHeight="false" outlineLevel="0" collapsed="false">
      <c r="B9" s="11" t="s">
        <v>67</v>
      </c>
      <c r="C9" s="12" t="n">
        <v>668741.75</v>
      </c>
    </row>
    <row r="10" customFormat="false" ht="15" hidden="false" customHeight="false" outlineLevel="0" collapsed="false">
      <c r="B10" s="9" t="s">
        <v>75</v>
      </c>
      <c r="C10" s="10" t="n">
        <v>341841.4</v>
      </c>
    </row>
    <row r="11" customFormat="false" ht="15" hidden="false" customHeight="false" outlineLevel="0" collapsed="false">
      <c r="B11" s="11" t="s">
        <v>76</v>
      </c>
      <c r="C11" s="12" t="n">
        <v>305312.65</v>
      </c>
    </row>
    <row r="12" customFormat="false" ht="15" hidden="false" customHeight="false" outlineLevel="0" collapsed="false">
      <c r="B12" s="9" t="s">
        <v>77</v>
      </c>
      <c r="C12" s="10" t="n">
        <v>123952.9</v>
      </c>
    </row>
    <row r="13" customFormat="false" ht="15" hidden="false" customHeight="false" outlineLevel="0" collapsed="false">
      <c r="B13" s="11" t="s">
        <v>78</v>
      </c>
      <c r="C13" s="12" t="n">
        <v>114148.8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</cols>
  <sheetData>
    <row r="2" customFormat="false" ht="22.05" hidden="false" customHeight="false" outlineLevel="0" collapsed="false">
      <c r="B2" s="13" t="s">
        <v>79</v>
      </c>
    </row>
    <row r="3" customFormat="false" ht="15" hidden="false" customHeight="false" outlineLevel="0" collapsed="false">
      <c r="B3" s="14" t="s">
        <v>80</v>
      </c>
    </row>
    <row r="5" customFormat="false" ht="15" hidden="false" customHeight="false" outlineLevel="0" collapsed="false">
      <c r="A5" s="7"/>
      <c r="B5" s="7" t="s">
        <v>81</v>
      </c>
      <c r="C5" s="7" t="s">
        <v>82</v>
      </c>
      <c r="D5" s="7" t="s">
        <v>83</v>
      </c>
      <c r="E5" s="7" t="s">
        <v>84</v>
      </c>
      <c r="F5" s="7" t="s">
        <v>85</v>
      </c>
      <c r="G5" s="8" t="s">
        <v>86</v>
      </c>
    </row>
    <row r="6" customFormat="false" ht="15" hidden="false" customHeight="false" outlineLevel="0" collapsed="false">
      <c r="B6" s="9" t="s">
        <v>87</v>
      </c>
      <c r="C6" s="9" t="s">
        <v>88</v>
      </c>
      <c r="D6" s="9" t="n">
        <v>76</v>
      </c>
      <c r="E6" s="10" t="n">
        <v>886638.9</v>
      </c>
      <c r="F6" s="10" t="n">
        <v>11666.3</v>
      </c>
      <c r="G6" s="10" t="n">
        <v>25000</v>
      </c>
    </row>
    <row r="7" customFormat="false" ht="15" hidden="false" customHeight="false" outlineLevel="0" collapsed="false">
      <c r="B7" s="11" t="s">
        <v>89</v>
      </c>
      <c r="C7" s="11" t="s">
        <v>88</v>
      </c>
      <c r="D7" s="11" t="n">
        <v>64</v>
      </c>
      <c r="E7" s="12" t="n">
        <v>820109.4</v>
      </c>
      <c r="F7" s="12" t="n">
        <v>12814.21</v>
      </c>
      <c r="G7" s="12" t="n">
        <v>25000</v>
      </c>
    </row>
    <row r="8" customFormat="false" ht="15" hidden="false" customHeight="false" outlineLevel="0" collapsed="false">
      <c r="B8" s="9" t="s">
        <v>90</v>
      </c>
      <c r="C8" s="9" t="s">
        <v>91</v>
      </c>
      <c r="D8" s="9" t="n">
        <v>76</v>
      </c>
      <c r="E8" s="10" t="n">
        <v>690081.4</v>
      </c>
      <c r="F8" s="10" t="n">
        <v>9080.02</v>
      </c>
      <c r="G8" s="10" t="n">
        <v>25000</v>
      </c>
    </row>
    <row r="9" customFormat="false" ht="15" hidden="false" customHeight="false" outlineLevel="0" collapsed="false">
      <c r="B9" s="11" t="s">
        <v>92</v>
      </c>
      <c r="C9" s="11" t="s">
        <v>93</v>
      </c>
      <c r="D9" s="11" t="n">
        <v>65</v>
      </c>
      <c r="E9" s="12" t="n">
        <v>628403.65</v>
      </c>
      <c r="F9" s="12" t="n">
        <v>9667.75</v>
      </c>
      <c r="G9" s="12" t="n">
        <v>20000</v>
      </c>
    </row>
    <row r="10" customFormat="false" ht="15" hidden="false" customHeight="false" outlineLevel="0" collapsed="false">
      <c r="B10" s="9" t="s">
        <v>94</v>
      </c>
      <c r="C10" s="9" t="s">
        <v>91</v>
      </c>
      <c r="D10" s="9" t="n">
        <v>67</v>
      </c>
      <c r="E10" s="10" t="n">
        <v>617356.25</v>
      </c>
      <c r="F10" s="10" t="n">
        <v>9214.27</v>
      </c>
      <c r="G10" s="10" t="n">
        <v>30000</v>
      </c>
    </row>
    <row r="11" customFormat="false" ht="15" hidden="false" customHeight="false" outlineLevel="0" collapsed="false">
      <c r="B11" s="11" t="s">
        <v>95</v>
      </c>
      <c r="C11" s="11" t="s">
        <v>88</v>
      </c>
      <c r="D11" s="11" t="n">
        <v>55</v>
      </c>
      <c r="E11" s="12" t="n">
        <v>557344.7</v>
      </c>
      <c r="F11" s="12" t="n">
        <v>10133.54</v>
      </c>
      <c r="G11" s="12" t="n">
        <v>15000</v>
      </c>
    </row>
    <row r="12" customFormat="false" ht="15" hidden="false" customHeight="false" outlineLevel="0" collapsed="false">
      <c r="B12" s="9" t="s">
        <v>96</v>
      </c>
      <c r="C12" s="9" t="s">
        <v>91</v>
      </c>
      <c r="D12" s="9" t="n">
        <v>56</v>
      </c>
      <c r="E12" s="10" t="n">
        <v>553294.2</v>
      </c>
      <c r="F12" s="10" t="n">
        <v>9880.25</v>
      </c>
      <c r="G12" s="10" t="n">
        <v>30000</v>
      </c>
    </row>
    <row r="13" customFormat="false" ht="15" hidden="false" customHeight="false" outlineLevel="0" collapsed="false">
      <c r="B13" s="11" t="s">
        <v>97</v>
      </c>
      <c r="C13" s="11" t="s">
        <v>93</v>
      </c>
      <c r="D13" s="11" t="n">
        <v>58</v>
      </c>
      <c r="E13" s="12" t="n">
        <v>530777.7</v>
      </c>
      <c r="F13" s="12" t="n">
        <v>9151.34</v>
      </c>
      <c r="G13" s="12" t="n"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</cols>
  <sheetData>
    <row r="2" customFormat="false" ht="22.05" hidden="false" customHeight="false" outlineLevel="0" collapsed="false">
      <c r="B2" s="13" t="s">
        <v>98</v>
      </c>
    </row>
    <row r="3" customFormat="false" ht="15" hidden="false" customHeight="false" outlineLevel="0" collapsed="false">
      <c r="B3" s="14" t="s">
        <v>99</v>
      </c>
    </row>
    <row r="5" customFormat="false" ht="15" hidden="false" customHeight="false" outlineLevel="0" collapsed="false">
      <c r="A5" s="7"/>
      <c r="B5" s="7" t="s">
        <v>100</v>
      </c>
      <c r="C5" s="7" t="s">
        <v>83</v>
      </c>
      <c r="D5" s="8" t="s">
        <v>58</v>
      </c>
    </row>
    <row r="6" customFormat="false" ht="15" hidden="false" customHeight="false" outlineLevel="0" collapsed="false">
      <c r="B6" s="9" t="s">
        <v>101</v>
      </c>
      <c r="C6" s="9" t="n">
        <v>67</v>
      </c>
      <c r="D6" s="10" t="n">
        <v>725610.55</v>
      </c>
    </row>
    <row r="7" customFormat="false" ht="15" hidden="false" customHeight="false" outlineLevel="0" collapsed="false">
      <c r="B7" s="11" t="s">
        <v>102</v>
      </c>
      <c r="C7" s="11" t="n">
        <v>82</v>
      </c>
      <c r="D7" s="12" t="n">
        <v>692176.6</v>
      </c>
    </row>
    <row r="8" customFormat="false" ht="15" hidden="false" customHeight="false" outlineLevel="0" collapsed="false">
      <c r="B8" s="9" t="s">
        <v>103</v>
      </c>
      <c r="C8" s="9" t="n">
        <v>62</v>
      </c>
      <c r="D8" s="10" t="n">
        <v>663890.55</v>
      </c>
    </row>
    <row r="9" customFormat="false" ht="15" hidden="false" customHeight="false" outlineLevel="0" collapsed="false">
      <c r="B9" s="11" t="s">
        <v>104</v>
      </c>
      <c r="C9" s="11" t="n">
        <v>59</v>
      </c>
      <c r="D9" s="12" t="n">
        <v>646665.9</v>
      </c>
    </row>
    <row r="10" customFormat="false" ht="15" hidden="false" customHeight="false" outlineLevel="0" collapsed="false">
      <c r="B10" s="9" t="s">
        <v>105</v>
      </c>
      <c r="C10" s="9" t="n">
        <v>45</v>
      </c>
      <c r="D10" s="10" t="n">
        <v>547425.45</v>
      </c>
    </row>
    <row r="11" customFormat="false" ht="15" hidden="false" customHeight="false" outlineLevel="0" collapsed="false">
      <c r="B11" s="11" t="s">
        <v>106</v>
      </c>
      <c r="C11" s="11" t="n">
        <v>47</v>
      </c>
      <c r="D11" s="12" t="n">
        <v>463747.35</v>
      </c>
    </row>
    <row r="12" customFormat="false" ht="15" hidden="false" customHeight="false" outlineLevel="0" collapsed="false">
      <c r="B12" s="9" t="s">
        <v>107</v>
      </c>
      <c r="C12" s="9" t="n">
        <v>42</v>
      </c>
      <c r="D12" s="10" t="n">
        <v>461621.7</v>
      </c>
    </row>
    <row r="13" customFormat="false" ht="15" hidden="false" customHeight="false" outlineLevel="0" collapsed="false">
      <c r="B13" s="11" t="s">
        <v>108</v>
      </c>
      <c r="C13" s="11" t="n">
        <v>45</v>
      </c>
      <c r="D13" s="12" t="n">
        <v>435015.95</v>
      </c>
    </row>
    <row r="14" customFormat="false" ht="15" hidden="false" customHeight="false" outlineLevel="0" collapsed="false">
      <c r="B14" s="9" t="s">
        <v>109</v>
      </c>
      <c r="C14" s="9" t="n">
        <v>35</v>
      </c>
      <c r="D14" s="10" t="n">
        <v>360749.1</v>
      </c>
    </row>
    <row r="15" customFormat="false" ht="15" hidden="false" customHeight="false" outlineLevel="0" collapsed="false">
      <c r="B15" s="11" t="s">
        <v>110</v>
      </c>
      <c r="C15" s="11" t="n">
        <v>33</v>
      </c>
      <c r="D15" s="12" t="n">
        <v>287103.05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3"/>
  </cols>
  <sheetData>
    <row r="2" customFormat="false" ht="22.05" hidden="false" customHeight="false" outlineLevel="0" collapsed="false">
      <c r="B2" s="13" t="s">
        <v>111</v>
      </c>
    </row>
    <row r="3" customFormat="false" ht="15" hidden="false" customHeight="false" outlineLevel="0" collapsed="false">
      <c r="B3" s="14" t="s">
        <v>112</v>
      </c>
    </row>
    <row r="5" customFormat="false" ht="15" hidden="false" customHeight="false" outlineLevel="0" collapsed="false">
      <c r="A5" s="7"/>
      <c r="B5" s="7" t="s">
        <v>113</v>
      </c>
      <c r="C5" s="7" t="s">
        <v>83</v>
      </c>
      <c r="D5" s="8" t="s">
        <v>114</v>
      </c>
    </row>
    <row r="6" customFormat="false" ht="15" hidden="false" customHeight="false" outlineLevel="0" collapsed="false">
      <c r="B6" s="9" t="s">
        <v>115</v>
      </c>
      <c r="C6" s="9" t="n">
        <v>517</v>
      </c>
      <c r="D6" s="15" t="n">
        <v>54.42</v>
      </c>
    </row>
    <row r="7" customFormat="false" ht="15" hidden="false" customHeight="false" outlineLevel="0" collapsed="false">
      <c r="B7" s="11" t="s">
        <v>116</v>
      </c>
      <c r="C7" s="11" t="n">
        <v>148</v>
      </c>
      <c r="D7" s="16" t="n">
        <v>15.58</v>
      </c>
    </row>
    <row r="8" customFormat="false" ht="15" hidden="false" customHeight="false" outlineLevel="0" collapsed="false">
      <c r="B8" s="9" t="s">
        <v>117</v>
      </c>
      <c r="C8" s="9" t="n">
        <v>144</v>
      </c>
      <c r="D8" s="15" t="n">
        <v>15.16</v>
      </c>
    </row>
    <row r="9" customFormat="false" ht="15" hidden="false" customHeight="false" outlineLevel="0" collapsed="false">
      <c r="B9" s="11" t="s">
        <v>118</v>
      </c>
      <c r="C9" s="11" t="n">
        <v>141</v>
      </c>
      <c r="D9" s="16" t="n">
        <v>14.84</v>
      </c>
    </row>
    <row r="12" customFormat="false" ht="15" hidden="false" customHeight="false" outlineLevel="0" collapsed="false">
      <c r="B12" s="6" t="s">
        <v>119</v>
      </c>
    </row>
    <row r="13" customFormat="false" ht="15" hidden="false" customHeight="false" outlineLevel="0" collapsed="false">
      <c r="A13" s="7"/>
      <c r="B13" s="7" t="s">
        <v>120</v>
      </c>
      <c r="C13" s="7" t="s">
        <v>83</v>
      </c>
      <c r="D13" s="8" t="s">
        <v>114</v>
      </c>
    </row>
    <row r="14" customFormat="false" ht="15" hidden="false" customHeight="false" outlineLevel="0" collapsed="false">
      <c r="B14" s="9" t="s">
        <v>121</v>
      </c>
      <c r="C14" s="9" t="n">
        <v>246</v>
      </c>
      <c r="D14" s="15" t="n">
        <v>25.89</v>
      </c>
    </row>
    <row r="15" customFormat="false" ht="15" hidden="false" customHeight="false" outlineLevel="0" collapsed="false">
      <c r="B15" s="11" t="s">
        <v>122</v>
      </c>
      <c r="C15" s="11" t="n">
        <v>241</v>
      </c>
      <c r="D15" s="16" t="n">
        <v>25.37</v>
      </c>
    </row>
    <row r="16" customFormat="false" ht="15" hidden="false" customHeight="false" outlineLevel="0" collapsed="false">
      <c r="B16" s="9" t="s">
        <v>123</v>
      </c>
      <c r="C16" s="9" t="n">
        <v>238</v>
      </c>
      <c r="D16" s="15" t="n">
        <v>25.05</v>
      </c>
    </row>
    <row r="17" customFormat="false" ht="15" hidden="false" customHeight="false" outlineLevel="0" collapsed="false">
      <c r="B17" s="11" t="s">
        <v>124</v>
      </c>
      <c r="C17" s="11" t="n">
        <v>225</v>
      </c>
      <c r="D17" s="16" t="n">
        <v>23.68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7" min="7" style="0" width="20"/>
  </cols>
  <sheetData>
    <row r="2" customFormat="false" ht="22.05" hidden="false" customHeight="false" outlineLevel="0" collapsed="false">
      <c r="B2" s="13" t="s">
        <v>125</v>
      </c>
    </row>
    <row r="3" customFormat="false" ht="15" hidden="false" customHeight="false" outlineLevel="0" collapsed="false">
      <c r="B3" s="14" t="s">
        <v>126</v>
      </c>
    </row>
    <row r="5" customFormat="false" ht="15" hidden="false" customHeight="false" outlineLevel="0" collapsed="false">
      <c r="A5" s="7"/>
      <c r="B5" s="7" t="s">
        <v>127</v>
      </c>
      <c r="C5" s="7" t="s">
        <v>128</v>
      </c>
      <c r="D5" s="7" t="s">
        <v>100</v>
      </c>
      <c r="E5" s="7" t="s">
        <v>129</v>
      </c>
      <c r="F5" s="7" t="s">
        <v>130</v>
      </c>
      <c r="G5" s="8" t="s">
        <v>131</v>
      </c>
    </row>
    <row r="6" customFormat="false" ht="15" hidden="false" customHeight="false" outlineLevel="0" collapsed="false">
      <c r="B6" s="9" t="s">
        <v>132</v>
      </c>
      <c r="C6" s="9" t="s">
        <v>133</v>
      </c>
      <c r="D6" s="9" t="s">
        <v>101</v>
      </c>
      <c r="E6" s="9" t="n">
        <v>30</v>
      </c>
      <c r="F6" s="9" t="n">
        <v>8</v>
      </c>
      <c r="G6" s="10" t="n">
        <v>144515.35</v>
      </c>
    </row>
    <row r="7" customFormat="false" ht="15" hidden="false" customHeight="false" outlineLevel="0" collapsed="false">
      <c r="B7" s="11" t="s">
        <v>134</v>
      </c>
      <c r="C7" s="11" t="s">
        <v>133</v>
      </c>
      <c r="D7" s="11" t="s">
        <v>103</v>
      </c>
      <c r="E7" s="11" t="n">
        <v>78</v>
      </c>
      <c r="F7" s="11" t="n">
        <v>6</v>
      </c>
      <c r="G7" s="12" t="n">
        <v>115218.85</v>
      </c>
    </row>
    <row r="8" customFormat="false" ht="15" hidden="false" customHeight="false" outlineLevel="0" collapsed="false">
      <c r="B8" s="9" t="s">
        <v>135</v>
      </c>
      <c r="C8" s="9" t="s">
        <v>133</v>
      </c>
      <c r="D8" s="9" t="s">
        <v>103</v>
      </c>
      <c r="E8" s="9" t="n">
        <v>4</v>
      </c>
      <c r="F8" s="9" t="n">
        <v>10</v>
      </c>
      <c r="G8" s="10" t="n">
        <v>101213.3</v>
      </c>
    </row>
    <row r="9" customFormat="false" ht="15" hidden="false" customHeight="false" outlineLevel="0" collapsed="false">
      <c r="B9" s="11" t="s">
        <v>136</v>
      </c>
      <c r="C9" s="11" t="s">
        <v>133</v>
      </c>
      <c r="D9" s="11" t="s">
        <v>105</v>
      </c>
      <c r="E9" s="11" t="n">
        <v>204</v>
      </c>
      <c r="F9" s="11" t="n">
        <v>6</v>
      </c>
      <c r="G9" s="12" t="n">
        <v>100481.75</v>
      </c>
    </row>
    <row r="10" customFormat="false" ht="15" hidden="false" customHeight="false" outlineLevel="0" collapsed="false">
      <c r="B10" s="9" t="s">
        <v>137</v>
      </c>
      <c r="C10" s="9" t="s">
        <v>133</v>
      </c>
      <c r="D10" s="9" t="s">
        <v>105</v>
      </c>
      <c r="E10" s="9" t="n">
        <v>81</v>
      </c>
      <c r="F10" s="9" t="n">
        <v>8</v>
      </c>
      <c r="G10" s="10" t="n">
        <v>96309.6</v>
      </c>
    </row>
    <row r="11" customFormat="false" ht="15" hidden="false" customHeight="false" outlineLevel="0" collapsed="false">
      <c r="B11" s="11" t="s">
        <v>138</v>
      </c>
      <c r="C11" s="11" t="s">
        <v>133</v>
      </c>
      <c r="D11" s="11" t="s">
        <v>109</v>
      </c>
      <c r="E11" s="11" t="n">
        <v>139</v>
      </c>
      <c r="F11" s="11" t="n">
        <v>5</v>
      </c>
      <c r="G11" s="12" t="n">
        <v>90145.25</v>
      </c>
    </row>
    <row r="12" customFormat="false" ht="15" hidden="false" customHeight="false" outlineLevel="0" collapsed="false">
      <c r="B12" s="9" t="s">
        <v>139</v>
      </c>
      <c r="C12" s="9" t="s">
        <v>133</v>
      </c>
      <c r="D12" s="9" t="s">
        <v>106</v>
      </c>
      <c r="E12" s="9" t="n">
        <v>285</v>
      </c>
      <c r="F12" s="9" t="n">
        <v>3</v>
      </c>
      <c r="G12" s="10" t="n">
        <v>83594.5</v>
      </c>
    </row>
    <row r="13" customFormat="false" ht="15" hidden="false" customHeight="false" outlineLevel="0" collapsed="false">
      <c r="B13" s="11" t="s">
        <v>140</v>
      </c>
      <c r="C13" s="11" t="s">
        <v>133</v>
      </c>
      <c r="D13" s="11" t="s">
        <v>108</v>
      </c>
      <c r="E13" s="11" t="n">
        <v>24</v>
      </c>
      <c r="F13" s="11" t="n">
        <v>7</v>
      </c>
      <c r="G13" s="12" t="n">
        <v>81444.85</v>
      </c>
    </row>
    <row r="14" customFormat="false" ht="15" hidden="false" customHeight="false" outlineLevel="0" collapsed="false">
      <c r="B14" s="9" t="s">
        <v>141</v>
      </c>
      <c r="C14" s="9" t="s">
        <v>133</v>
      </c>
      <c r="D14" s="9" t="s">
        <v>104</v>
      </c>
      <c r="E14" s="9" t="n">
        <v>252</v>
      </c>
      <c r="F14" s="9" t="n">
        <v>7</v>
      </c>
      <c r="G14" s="10" t="n">
        <v>78873</v>
      </c>
    </row>
    <row r="15" customFormat="false" ht="15" hidden="false" customHeight="false" outlineLevel="0" collapsed="false">
      <c r="B15" s="11" t="s">
        <v>142</v>
      </c>
      <c r="C15" s="11" t="s">
        <v>133</v>
      </c>
      <c r="D15" s="11" t="s">
        <v>105</v>
      </c>
      <c r="E15" s="11" t="n">
        <v>99</v>
      </c>
      <c r="F15" s="11" t="n">
        <v>5</v>
      </c>
      <c r="G15" s="12" t="n">
        <v>72888.35</v>
      </c>
    </row>
    <row r="16" customFormat="false" ht="15" hidden="false" customHeight="false" outlineLevel="0" collapsed="false">
      <c r="B16" s="9" t="s">
        <v>143</v>
      </c>
      <c r="C16" s="9" t="s">
        <v>133</v>
      </c>
      <c r="D16" s="9" t="s">
        <v>107</v>
      </c>
      <c r="E16" s="9" t="n">
        <v>158</v>
      </c>
      <c r="F16" s="9" t="n">
        <v>5</v>
      </c>
      <c r="G16" s="10" t="n">
        <v>70565.4</v>
      </c>
    </row>
    <row r="17" customFormat="false" ht="15" hidden="false" customHeight="false" outlineLevel="0" collapsed="false">
      <c r="B17" s="11" t="s">
        <v>144</v>
      </c>
      <c r="C17" s="11" t="s">
        <v>133</v>
      </c>
      <c r="D17" s="11" t="s">
        <v>105</v>
      </c>
      <c r="E17" s="11" t="n">
        <v>20</v>
      </c>
      <c r="F17" s="11" t="n">
        <v>5</v>
      </c>
      <c r="G17" s="12" t="n">
        <v>69332.65</v>
      </c>
    </row>
    <row r="18" customFormat="false" ht="15" hidden="false" customHeight="false" outlineLevel="0" collapsed="false">
      <c r="B18" s="9" t="s">
        <v>145</v>
      </c>
      <c r="C18" s="9" t="s">
        <v>133</v>
      </c>
      <c r="D18" s="9" t="s">
        <v>101</v>
      </c>
      <c r="E18" s="9" t="n">
        <v>175</v>
      </c>
      <c r="F18" s="9" t="n">
        <v>5</v>
      </c>
      <c r="G18" s="10" t="n">
        <v>68235.4</v>
      </c>
    </row>
    <row r="19" customFormat="false" ht="15" hidden="false" customHeight="false" outlineLevel="0" collapsed="false">
      <c r="B19" s="11" t="s">
        <v>146</v>
      </c>
      <c r="C19" s="11" t="s">
        <v>133</v>
      </c>
      <c r="D19" s="11" t="s">
        <v>104</v>
      </c>
      <c r="E19" s="11" t="n">
        <v>52</v>
      </c>
      <c r="F19" s="11" t="n">
        <v>5</v>
      </c>
      <c r="G19" s="12" t="n">
        <v>67469.3</v>
      </c>
    </row>
    <row r="20" customFormat="false" ht="15" hidden="false" customHeight="false" outlineLevel="0" collapsed="false">
      <c r="B20" s="9" t="s">
        <v>147</v>
      </c>
      <c r="C20" s="9" t="s">
        <v>133</v>
      </c>
      <c r="D20" s="9" t="s">
        <v>107</v>
      </c>
      <c r="E20" s="9" t="n">
        <v>192</v>
      </c>
      <c r="F20" s="9" t="n">
        <v>4</v>
      </c>
      <c r="G20" s="10" t="n">
        <v>64539.65</v>
      </c>
    </row>
    <row r="21" customFormat="false" ht="15" hidden="false" customHeight="false" outlineLevel="0" collapsed="false">
      <c r="B21" s="11" t="s">
        <v>148</v>
      </c>
      <c r="C21" s="11" t="s">
        <v>133</v>
      </c>
      <c r="D21" s="11" t="s">
        <v>103</v>
      </c>
      <c r="E21" s="11" t="n">
        <v>297</v>
      </c>
      <c r="F21" s="11" t="n">
        <v>4</v>
      </c>
      <c r="G21" s="12" t="n">
        <v>64498.75</v>
      </c>
    </row>
    <row r="22" customFormat="false" ht="15" hidden="false" customHeight="false" outlineLevel="0" collapsed="false">
      <c r="B22" s="9" t="s">
        <v>149</v>
      </c>
      <c r="C22" s="9" t="s">
        <v>133</v>
      </c>
      <c r="D22" s="9" t="s">
        <v>110</v>
      </c>
      <c r="E22" s="9" t="n">
        <v>225</v>
      </c>
      <c r="F22" s="9" t="n">
        <v>5</v>
      </c>
      <c r="G22" s="10" t="n">
        <v>63053.55</v>
      </c>
    </row>
    <row r="23" customFormat="false" ht="15" hidden="false" customHeight="false" outlineLevel="0" collapsed="false">
      <c r="B23" s="11" t="s">
        <v>150</v>
      </c>
      <c r="C23" s="11" t="s">
        <v>133</v>
      </c>
      <c r="D23" s="11" t="s">
        <v>104</v>
      </c>
      <c r="E23" s="11" t="n">
        <v>27</v>
      </c>
      <c r="F23" s="11" t="n">
        <v>3</v>
      </c>
      <c r="G23" s="12" t="n">
        <v>58692.3</v>
      </c>
    </row>
    <row r="24" customFormat="false" ht="15" hidden="false" customHeight="false" outlineLevel="0" collapsed="false">
      <c r="B24" s="9" t="s">
        <v>151</v>
      </c>
      <c r="C24" s="9" t="s">
        <v>133</v>
      </c>
      <c r="D24" s="9" t="s">
        <v>102</v>
      </c>
      <c r="E24" s="9" t="n">
        <v>256</v>
      </c>
      <c r="F24" s="9" t="n">
        <v>5</v>
      </c>
      <c r="G24" s="10" t="n">
        <v>58590.35</v>
      </c>
    </row>
    <row r="25" customFormat="false" ht="15" hidden="false" customHeight="false" outlineLevel="0" collapsed="false">
      <c r="B25" s="11" t="s">
        <v>152</v>
      </c>
      <c r="C25" s="11" t="s">
        <v>153</v>
      </c>
      <c r="D25" s="11" t="s">
        <v>107</v>
      </c>
      <c r="E25" s="11" t="n">
        <v>70</v>
      </c>
      <c r="F25" s="11" t="n">
        <v>8</v>
      </c>
      <c r="G25" s="12" t="n">
        <v>57921.5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20"/>
  </cols>
  <sheetData>
    <row r="2" customFormat="false" ht="22.05" hidden="false" customHeight="false" outlineLevel="0" collapsed="false">
      <c r="B2" s="13" t="s">
        <v>154</v>
      </c>
    </row>
    <row r="3" customFormat="false" ht="15" hidden="false" customHeight="false" outlineLevel="0" collapsed="false">
      <c r="B3" s="14" t="s">
        <v>155</v>
      </c>
    </row>
    <row r="5" customFormat="false" ht="15" hidden="false" customHeight="false" outlineLevel="0" collapsed="false">
      <c r="A5" s="7"/>
      <c r="B5" s="7" t="s">
        <v>55</v>
      </c>
      <c r="C5" s="7" t="s">
        <v>56</v>
      </c>
      <c r="D5" s="7" t="s">
        <v>156</v>
      </c>
      <c r="E5" s="7" t="s">
        <v>157</v>
      </c>
      <c r="F5" s="8" t="s">
        <v>57</v>
      </c>
    </row>
    <row r="6" customFormat="false" ht="15" hidden="false" customHeight="false" outlineLevel="0" collapsed="false">
      <c r="B6" s="9" t="s">
        <v>158</v>
      </c>
      <c r="C6" s="9" t="s">
        <v>78</v>
      </c>
      <c r="D6" s="9" t="n">
        <v>183</v>
      </c>
      <c r="E6" s="15" t="n">
        <v>43.14</v>
      </c>
      <c r="F6" s="9" t="n">
        <v>153</v>
      </c>
    </row>
    <row r="7" customFormat="false" ht="15" hidden="false" customHeight="false" outlineLevel="0" collapsed="false">
      <c r="B7" s="11" t="s">
        <v>61</v>
      </c>
      <c r="C7" s="11" t="s">
        <v>62</v>
      </c>
      <c r="D7" s="11" t="n">
        <v>28</v>
      </c>
      <c r="E7" s="16" t="n">
        <v>31.24</v>
      </c>
      <c r="F7" s="11" t="n">
        <v>147</v>
      </c>
    </row>
    <row r="8" customFormat="false" ht="15" hidden="false" customHeight="false" outlineLevel="0" collapsed="false">
      <c r="B8" s="9" t="s">
        <v>65</v>
      </c>
      <c r="C8" s="9" t="s">
        <v>60</v>
      </c>
      <c r="D8" s="9" t="n">
        <v>57</v>
      </c>
      <c r="E8" s="15" t="n">
        <v>28.93</v>
      </c>
      <c r="F8" s="9" t="n">
        <v>146</v>
      </c>
    </row>
    <row r="9" customFormat="false" ht="15" hidden="false" customHeight="false" outlineLevel="0" collapsed="false">
      <c r="B9" s="11" t="s">
        <v>159</v>
      </c>
      <c r="C9" s="11" t="s">
        <v>77</v>
      </c>
      <c r="D9" s="11" t="n">
        <v>173</v>
      </c>
      <c r="E9" s="16" t="n">
        <v>44.86</v>
      </c>
      <c r="F9" s="11" t="n">
        <v>140</v>
      </c>
    </row>
    <row r="10" customFormat="false" ht="15" hidden="false" customHeight="false" outlineLevel="0" collapsed="false">
      <c r="B10" s="9" t="s">
        <v>160</v>
      </c>
      <c r="C10" s="9" t="s">
        <v>77</v>
      </c>
      <c r="D10" s="9" t="n">
        <v>228</v>
      </c>
      <c r="E10" s="15" t="n">
        <v>43.89</v>
      </c>
      <c r="F10" s="9" t="n">
        <v>140</v>
      </c>
    </row>
    <row r="11" customFormat="false" ht="15" hidden="false" customHeight="false" outlineLevel="0" collapsed="false">
      <c r="B11" s="11" t="s">
        <v>72</v>
      </c>
      <c r="C11" s="11" t="s">
        <v>69</v>
      </c>
      <c r="D11" s="11" t="n">
        <v>108</v>
      </c>
      <c r="E11" s="16" t="n">
        <v>28.82</v>
      </c>
      <c r="F11" s="11" t="n">
        <v>138</v>
      </c>
    </row>
    <row r="12" customFormat="false" ht="15" hidden="false" customHeight="false" outlineLevel="0" collapsed="false">
      <c r="B12" s="9" t="s">
        <v>161</v>
      </c>
      <c r="C12" s="9" t="s">
        <v>76</v>
      </c>
      <c r="D12" s="9" t="n">
        <v>139</v>
      </c>
      <c r="E12" s="15" t="n">
        <v>47.79</v>
      </c>
      <c r="F12" s="9" t="n">
        <v>137</v>
      </c>
    </row>
    <row r="13" customFormat="false" ht="15" hidden="false" customHeight="false" outlineLevel="0" collapsed="false">
      <c r="B13" s="11" t="s">
        <v>59</v>
      </c>
      <c r="C13" s="11" t="s">
        <v>60</v>
      </c>
      <c r="D13" s="11" t="n">
        <v>62</v>
      </c>
      <c r="E13" s="16" t="n">
        <v>24.99</v>
      </c>
      <c r="F13" s="11" t="n">
        <v>132</v>
      </c>
    </row>
    <row r="14" customFormat="false" ht="15" hidden="false" customHeight="false" outlineLevel="0" collapsed="false">
      <c r="B14" s="9" t="s">
        <v>71</v>
      </c>
      <c r="C14" s="9" t="s">
        <v>67</v>
      </c>
      <c r="D14" s="9" t="n">
        <v>55</v>
      </c>
      <c r="E14" s="15" t="n">
        <v>22.48</v>
      </c>
      <c r="F14" s="9" t="n">
        <v>132</v>
      </c>
    </row>
    <row r="15" customFormat="false" ht="15" hidden="false" customHeight="false" outlineLevel="0" collapsed="false">
      <c r="B15" s="11" t="s">
        <v>162</v>
      </c>
      <c r="C15" s="11" t="s">
        <v>77</v>
      </c>
      <c r="D15" s="11" t="n">
        <v>189</v>
      </c>
      <c r="E15" s="16" t="n">
        <v>49.83</v>
      </c>
      <c r="F15" s="11" t="n">
        <v>130</v>
      </c>
    </row>
    <row r="16" customFormat="false" ht="15" hidden="false" customHeight="false" outlineLevel="0" collapsed="false">
      <c r="B16" s="9" t="s">
        <v>163</v>
      </c>
      <c r="C16" s="9" t="s">
        <v>78</v>
      </c>
      <c r="D16" s="9" t="n">
        <v>143</v>
      </c>
      <c r="E16" s="15" t="n">
        <v>49.61</v>
      </c>
      <c r="F16" s="9" t="n">
        <v>130</v>
      </c>
    </row>
    <row r="17" customFormat="false" ht="15" hidden="false" customHeight="false" outlineLevel="0" collapsed="false">
      <c r="B17" s="11" t="s">
        <v>164</v>
      </c>
      <c r="C17" s="11" t="s">
        <v>78</v>
      </c>
      <c r="D17" s="11" t="n">
        <v>50</v>
      </c>
      <c r="E17" s="16" t="n">
        <v>45.56</v>
      </c>
      <c r="F17" s="11" t="n">
        <v>130</v>
      </c>
    </row>
    <row r="18" customFormat="false" ht="15" hidden="false" customHeight="false" outlineLevel="0" collapsed="false">
      <c r="B18" s="9" t="s">
        <v>165</v>
      </c>
      <c r="C18" s="9" t="s">
        <v>75</v>
      </c>
      <c r="D18" s="9" t="n">
        <v>194</v>
      </c>
      <c r="E18" s="15" t="n">
        <v>34.84</v>
      </c>
      <c r="F18" s="9" t="n">
        <v>130</v>
      </c>
    </row>
    <row r="19" customFormat="false" ht="15" hidden="false" customHeight="false" outlineLevel="0" collapsed="false">
      <c r="B19" s="11" t="s">
        <v>66</v>
      </c>
      <c r="C19" s="11" t="s">
        <v>67</v>
      </c>
      <c r="D19" s="11" t="n">
        <v>59</v>
      </c>
      <c r="E19" s="16" t="n">
        <v>23.66</v>
      </c>
      <c r="F19" s="11" t="n">
        <v>129</v>
      </c>
    </row>
    <row r="20" customFormat="false" ht="15" hidden="false" customHeight="false" outlineLevel="0" collapsed="false">
      <c r="B20" s="9" t="s">
        <v>64</v>
      </c>
      <c r="C20" s="9" t="s">
        <v>62</v>
      </c>
      <c r="D20" s="9" t="n">
        <v>70</v>
      </c>
      <c r="E20" s="15" t="n">
        <v>29.98</v>
      </c>
      <c r="F20" s="9" t="n">
        <v>128</v>
      </c>
    </row>
    <row r="21" customFormat="false" ht="15" hidden="false" customHeight="false" outlineLevel="0" collapsed="false">
      <c r="B21" s="11" t="s">
        <v>68</v>
      </c>
      <c r="C21" s="11" t="s">
        <v>69</v>
      </c>
      <c r="D21" s="11" t="n">
        <v>8</v>
      </c>
      <c r="E21" s="16" t="n">
        <v>28.1</v>
      </c>
      <c r="F21" s="11" t="n">
        <v>128</v>
      </c>
    </row>
    <row r="22" customFormat="false" ht="15" hidden="false" customHeight="false" outlineLevel="0" collapsed="false">
      <c r="B22" s="9" t="s">
        <v>166</v>
      </c>
      <c r="C22" s="9" t="s">
        <v>60</v>
      </c>
      <c r="D22" s="9" t="n">
        <v>188</v>
      </c>
      <c r="E22" s="15" t="n">
        <v>30.28</v>
      </c>
      <c r="F22" s="9" t="n">
        <v>127</v>
      </c>
    </row>
    <row r="23" customFormat="false" ht="15" hidden="false" customHeight="false" outlineLevel="0" collapsed="false">
      <c r="B23" s="11" t="s">
        <v>167</v>
      </c>
      <c r="C23" s="11" t="s">
        <v>60</v>
      </c>
      <c r="D23" s="11" t="n">
        <v>26</v>
      </c>
      <c r="E23" s="16" t="n">
        <v>30.33</v>
      </c>
      <c r="F23" s="11" t="n">
        <v>126</v>
      </c>
    </row>
    <row r="24" customFormat="false" ht="15" hidden="false" customHeight="false" outlineLevel="0" collapsed="false">
      <c r="B24" s="9" t="s">
        <v>168</v>
      </c>
      <c r="C24" s="9" t="s">
        <v>78</v>
      </c>
      <c r="D24" s="9" t="n">
        <v>166</v>
      </c>
      <c r="E24" s="15" t="n">
        <v>33.26</v>
      </c>
      <c r="F24" s="9" t="n">
        <v>126</v>
      </c>
    </row>
    <row r="25" customFormat="false" ht="15" hidden="false" customHeight="false" outlineLevel="0" collapsed="false">
      <c r="B25" s="11" t="s">
        <v>169</v>
      </c>
      <c r="C25" s="11" t="s">
        <v>67</v>
      </c>
      <c r="D25" s="11" t="n">
        <v>129</v>
      </c>
      <c r="E25" s="16" t="n">
        <v>24.97</v>
      </c>
      <c r="F25" s="11" t="n">
        <v>125</v>
      </c>
    </row>
    <row r="26" customFormat="false" ht="15" hidden="false" customHeight="false" outlineLevel="0" collapsed="false">
      <c r="B26" s="9" t="s">
        <v>170</v>
      </c>
      <c r="C26" s="9" t="s">
        <v>60</v>
      </c>
      <c r="D26" s="9" t="n">
        <v>35</v>
      </c>
      <c r="E26" s="15" t="n">
        <v>29.98</v>
      </c>
      <c r="F26" s="9" t="n">
        <v>124</v>
      </c>
    </row>
    <row r="27" customFormat="false" ht="15" hidden="false" customHeight="false" outlineLevel="0" collapsed="false">
      <c r="B27" s="11" t="s">
        <v>171</v>
      </c>
      <c r="C27" s="11" t="s">
        <v>69</v>
      </c>
      <c r="D27" s="11" t="n">
        <v>7</v>
      </c>
      <c r="E27" s="16" t="n">
        <v>33.26</v>
      </c>
      <c r="F27" s="11" t="n">
        <v>123</v>
      </c>
    </row>
    <row r="28" customFormat="false" ht="15" hidden="false" customHeight="false" outlineLevel="0" collapsed="false">
      <c r="B28" s="9" t="s">
        <v>172</v>
      </c>
      <c r="C28" s="9" t="s">
        <v>76</v>
      </c>
      <c r="D28" s="9" t="n">
        <v>107</v>
      </c>
      <c r="E28" s="15" t="n">
        <v>39.85</v>
      </c>
      <c r="F28" s="9" t="n">
        <v>122</v>
      </c>
    </row>
    <row r="29" customFormat="false" ht="15" hidden="false" customHeight="false" outlineLevel="0" collapsed="false">
      <c r="B29" s="11" t="s">
        <v>173</v>
      </c>
      <c r="C29" s="11" t="s">
        <v>76</v>
      </c>
      <c r="D29" s="11" t="n">
        <v>114</v>
      </c>
      <c r="E29" s="16" t="n">
        <v>36.56</v>
      </c>
      <c r="F29" s="11" t="n">
        <v>121</v>
      </c>
    </row>
    <row r="30" customFormat="false" ht="15" hidden="false" customHeight="false" outlineLevel="0" collapsed="false">
      <c r="B30" s="9" t="s">
        <v>174</v>
      </c>
      <c r="C30" s="9" t="s">
        <v>62</v>
      </c>
      <c r="D30" s="9" t="n">
        <v>6</v>
      </c>
      <c r="E30" s="15" t="n">
        <v>33.31</v>
      </c>
      <c r="F30" s="9" t="n">
        <v>118</v>
      </c>
    </row>
    <row r="31" customFormat="false" ht="15" hidden="false" customHeight="false" outlineLevel="0" collapsed="false">
      <c r="B31" s="11" t="s">
        <v>175</v>
      </c>
      <c r="C31" s="11" t="s">
        <v>77</v>
      </c>
      <c r="D31" s="11" t="n">
        <v>139</v>
      </c>
      <c r="E31" s="16" t="n">
        <v>41.57</v>
      </c>
      <c r="F31" s="11" t="n">
        <v>117</v>
      </c>
    </row>
    <row r="32" customFormat="false" ht="15" hidden="false" customHeight="false" outlineLevel="0" collapsed="false">
      <c r="B32" s="9" t="s">
        <v>176</v>
      </c>
      <c r="C32" s="9" t="s">
        <v>67</v>
      </c>
      <c r="D32" s="9" t="n">
        <v>154</v>
      </c>
      <c r="E32" s="15" t="n">
        <v>35.41</v>
      </c>
      <c r="F32" s="9" t="n">
        <v>115</v>
      </c>
    </row>
    <row r="33" customFormat="false" ht="15" hidden="false" customHeight="false" outlineLevel="0" collapsed="false">
      <c r="B33" s="11" t="s">
        <v>63</v>
      </c>
      <c r="C33" s="11" t="s">
        <v>62</v>
      </c>
      <c r="D33" s="11" t="n">
        <v>163</v>
      </c>
      <c r="E33" s="16" t="n">
        <v>29.99</v>
      </c>
      <c r="F33" s="11" t="n">
        <v>114</v>
      </c>
    </row>
    <row r="34" customFormat="false" ht="15" hidden="false" customHeight="false" outlineLevel="0" collapsed="false">
      <c r="B34" s="9" t="s">
        <v>70</v>
      </c>
      <c r="C34" s="9" t="s">
        <v>62</v>
      </c>
      <c r="D34" s="9" t="n">
        <v>189</v>
      </c>
      <c r="E34" s="15" t="n">
        <v>33.31</v>
      </c>
      <c r="F34" s="9" t="n">
        <v>110</v>
      </c>
    </row>
    <row r="35" customFormat="false" ht="15" hidden="false" customHeight="false" outlineLevel="0" collapsed="false">
      <c r="B35" s="11" t="s">
        <v>177</v>
      </c>
      <c r="C35" s="11" t="s">
        <v>75</v>
      </c>
      <c r="D35" s="11" t="n">
        <v>207</v>
      </c>
      <c r="E35" s="16" t="n">
        <v>26.28</v>
      </c>
      <c r="F35" s="11" t="n">
        <v>109</v>
      </c>
    </row>
    <row r="36" customFormat="false" ht="15" hidden="false" customHeight="false" outlineLevel="0" collapsed="false">
      <c r="B36" s="9" t="s">
        <v>178</v>
      </c>
      <c r="C36" s="9" t="s">
        <v>75</v>
      </c>
      <c r="D36" s="9" t="n">
        <v>222</v>
      </c>
      <c r="E36" s="15" t="n">
        <v>36.96</v>
      </c>
      <c r="F36" s="9" t="n">
        <v>109</v>
      </c>
    </row>
    <row r="37" customFormat="false" ht="15" hidden="false" customHeight="false" outlineLevel="0" collapsed="false">
      <c r="B37" s="11" t="s">
        <v>179</v>
      </c>
      <c r="C37" s="11" t="s">
        <v>69</v>
      </c>
      <c r="D37" s="11" t="n">
        <v>23</v>
      </c>
      <c r="E37" s="16" t="n">
        <v>39.83</v>
      </c>
      <c r="F37" s="11" t="n">
        <v>108</v>
      </c>
    </row>
    <row r="38" customFormat="false" ht="15" hidden="false" customHeight="false" outlineLevel="0" collapsed="false">
      <c r="B38" s="9" t="s">
        <v>180</v>
      </c>
      <c r="C38" s="9" t="s">
        <v>67</v>
      </c>
      <c r="D38" s="9" t="n">
        <v>6</v>
      </c>
      <c r="E38" s="15" t="n">
        <v>39.76</v>
      </c>
      <c r="F38" s="9" t="n">
        <v>108</v>
      </c>
    </row>
    <row r="39" customFormat="false" ht="15" hidden="false" customHeight="false" outlineLevel="0" collapsed="false">
      <c r="B39" s="11" t="s">
        <v>181</v>
      </c>
      <c r="C39" s="11" t="s">
        <v>76</v>
      </c>
      <c r="D39" s="11" t="n">
        <v>150</v>
      </c>
      <c r="E39" s="16" t="n">
        <v>32.31</v>
      </c>
      <c r="F39" s="11" t="n">
        <v>108</v>
      </c>
    </row>
    <row r="40" customFormat="false" ht="15" hidden="false" customHeight="false" outlineLevel="0" collapsed="false">
      <c r="B40" s="9" t="s">
        <v>182</v>
      </c>
      <c r="C40" s="9" t="s">
        <v>75</v>
      </c>
      <c r="D40" s="9" t="n">
        <v>71</v>
      </c>
      <c r="E40" s="15" t="n">
        <v>24.97</v>
      </c>
      <c r="F40" s="9" t="n">
        <v>108</v>
      </c>
    </row>
    <row r="41" customFormat="false" ht="15" hidden="false" customHeight="false" outlineLevel="0" collapsed="false">
      <c r="B41" s="11" t="s">
        <v>183</v>
      </c>
      <c r="C41" s="11" t="s">
        <v>76</v>
      </c>
      <c r="D41" s="11" t="n">
        <v>56</v>
      </c>
      <c r="E41" s="16" t="n">
        <v>31.54</v>
      </c>
      <c r="F41" s="11" t="n">
        <v>107</v>
      </c>
    </row>
    <row r="42" customFormat="false" ht="15" hidden="false" customHeight="false" outlineLevel="0" collapsed="false">
      <c r="B42" s="9" t="s">
        <v>184</v>
      </c>
      <c r="C42" s="9" t="s">
        <v>69</v>
      </c>
      <c r="D42" s="9" t="n">
        <v>151</v>
      </c>
      <c r="E42" s="15" t="n">
        <v>29.29</v>
      </c>
      <c r="F42" s="9" t="n">
        <v>105</v>
      </c>
    </row>
    <row r="43" customFormat="false" ht="15" hidden="false" customHeight="false" outlineLevel="0" collapsed="false">
      <c r="B43" s="11" t="s">
        <v>185</v>
      </c>
      <c r="C43" s="11" t="s">
        <v>77</v>
      </c>
      <c r="D43" s="11" t="n">
        <v>22</v>
      </c>
      <c r="E43" s="16" t="n">
        <v>60.67</v>
      </c>
      <c r="F43" s="11" t="n">
        <v>104</v>
      </c>
    </row>
    <row r="44" customFormat="false" ht="15" hidden="false" customHeight="false" outlineLevel="0" collapsed="false">
      <c r="B44" s="9" t="s">
        <v>186</v>
      </c>
      <c r="C44" s="9" t="s">
        <v>78</v>
      </c>
      <c r="D44" s="9" t="n">
        <v>179</v>
      </c>
      <c r="E44" s="15" t="n">
        <v>55.7</v>
      </c>
      <c r="F44" s="9" t="n">
        <v>104</v>
      </c>
    </row>
    <row r="45" customFormat="false" ht="15" hidden="false" customHeight="false" outlineLevel="0" collapsed="false">
      <c r="B45" s="11" t="s">
        <v>187</v>
      </c>
      <c r="C45" s="11" t="s">
        <v>75</v>
      </c>
      <c r="D45" s="11" t="n">
        <v>1</v>
      </c>
      <c r="E45" s="16" t="n">
        <v>35.87</v>
      </c>
      <c r="F45" s="11" t="n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2026-09-06T14:29:08Z</dcterms:created>
  <dc:creator>openpyxl</dc:creator>
  <dc:description/>
  <dc:language>en-US</dc:language>
  <cp:lastModifiedBy/>
  <dcterms:modified xsi:type="dcterms:W3CDTF">2026-09-06T14:29:10Z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